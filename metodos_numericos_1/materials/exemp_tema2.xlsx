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489ce9dc246486/MN/Slides/"/>
    </mc:Choice>
  </mc:AlternateContent>
  <xr:revisionPtr revIDLastSave="24" documentId="8_{54311C72-4346-4A63-AB64-8EF0A64E5324}" xr6:coauthVersionLast="47" xr6:coauthVersionMax="47" xr10:uidLastSave="{9CD10E30-2E83-463E-B595-2300B64913A4}"/>
  <bookViews>
    <workbookView xWindow="-98" yWindow="-98" windowWidth="21795" windowHeight="12975" firstSheet="9" activeTab="11" xr2:uid="{00000000-000D-0000-FFFF-FFFF00000000}"/>
  </bookViews>
  <sheets>
    <sheet name="Exemplo 1" sheetId="1" r:id="rId1"/>
    <sheet name="Exemplo 1 (Copia)" sheetId="17" r:id="rId2"/>
    <sheet name="Exemplo 2" sheetId="2" r:id="rId3"/>
    <sheet name="Exemplo 2 (Copia)" sheetId="18" r:id="rId4"/>
    <sheet name="Grafico - Exemplo 2" sheetId="3" r:id="rId5"/>
    <sheet name="Exemplo 3" sheetId="4" r:id="rId6"/>
    <sheet name="Exemplo 3 (Copia)" sheetId="19" r:id="rId7"/>
    <sheet name="Exemplo 4" sheetId="5" r:id="rId8"/>
    <sheet name="Exemplo 5" sheetId="6" r:id="rId9"/>
    <sheet name="Exemplo 5 (Copia)" sheetId="21" r:id="rId10"/>
    <sheet name="Grafico - Exemplo 5" sheetId="7" r:id="rId11"/>
    <sheet name="Exemplo 6" sheetId="8" r:id="rId12"/>
    <sheet name="Exemplo 7" sheetId="9" r:id="rId13"/>
    <sheet name="Exemplo 7 (Cópia)" sheetId="14" r:id="rId14"/>
    <sheet name="Grafico - Exemplo 6" sheetId="13" r:id="rId15"/>
    <sheet name="Exemplo 8" sheetId="10" r:id="rId16"/>
    <sheet name="Exemplo 9 (2)" sheetId="15" r:id="rId17"/>
    <sheet name="Exemplo 9" sheetId="11" r:id="rId18"/>
    <sheet name="Exemplo 10 (2)" sheetId="16" r:id="rId19"/>
    <sheet name="Exemplo 10" sheetId="12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6" l="1"/>
  <c r="D8" i="16"/>
  <c r="E8" i="16"/>
  <c r="B8" i="16"/>
  <c r="D7" i="16"/>
  <c r="E7" i="16"/>
  <c r="F6" i="15"/>
  <c r="E6" i="15"/>
  <c r="B6" i="15"/>
  <c r="B9" i="14"/>
  <c r="C9" i="14"/>
  <c r="D9" i="14" s="1"/>
  <c r="B8" i="14"/>
  <c r="C8" i="14"/>
  <c r="D8" i="14" s="1"/>
  <c r="E8" i="14"/>
  <c r="C7" i="14"/>
  <c r="D7" i="14"/>
  <c r="E7" i="14"/>
  <c r="B7" i="14"/>
  <c r="D6" i="14"/>
  <c r="E6" i="14"/>
  <c r="C6" i="14"/>
  <c r="B6" i="14"/>
  <c r="E5" i="14"/>
  <c r="D5" i="14"/>
  <c r="C5" i="14"/>
  <c r="B5" i="14"/>
  <c r="E4" i="14"/>
  <c r="D4" i="14"/>
  <c r="C4" i="14"/>
  <c r="B4" i="14"/>
  <c r="E3" i="14"/>
  <c r="I9" i="2"/>
  <c r="H9" i="2"/>
  <c r="I8" i="2"/>
  <c r="H8" i="2"/>
  <c r="I7" i="2"/>
  <c r="H7" i="2"/>
  <c r="I6" i="2"/>
  <c r="H6" i="2"/>
  <c r="I5" i="2"/>
  <c r="H5" i="2"/>
  <c r="I4" i="2"/>
  <c r="H4" i="2"/>
  <c r="H3" i="2"/>
  <c r="D6" i="1"/>
  <c r="E6" i="1"/>
  <c r="F6" i="1"/>
  <c r="G6" i="1" s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D5" i="15"/>
  <c r="C5" i="15"/>
  <c r="F5" i="15"/>
  <c r="E5" i="15"/>
  <c r="B5" i="15"/>
  <c r="F4" i="15"/>
  <c r="E4" i="15"/>
  <c r="D4" i="15"/>
  <c r="C4" i="15"/>
  <c r="B4" i="15"/>
  <c r="G3" i="21"/>
  <c r="C4" i="16"/>
  <c r="B5" i="16" s="1"/>
  <c r="C3" i="16"/>
  <c r="D3" i="15"/>
  <c r="C3" i="15"/>
  <c r="D3" i="10"/>
  <c r="E3" i="15"/>
  <c r="E3" i="11"/>
  <c r="G3" i="1"/>
  <c r="D3" i="14"/>
  <c r="C3" i="14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E12" i="4"/>
  <c r="C12" i="4"/>
  <c r="F12" i="4" s="1"/>
  <c r="B12" i="4"/>
  <c r="D12" i="4" s="1"/>
  <c r="C4" i="12"/>
  <c r="C3" i="12"/>
  <c r="D3" i="11"/>
  <c r="C3" i="11"/>
  <c r="F3" i="10"/>
  <c r="F4" i="10" s="1"/>
  <c r="G4" i="10" s="1"/>
  <c r="E3" i="10"/>
  <c r="D4" i="10"/>
  <c r="E4" i="10" s="1"/>
  <c r="B3" i="10"/>
  <c r="C3" i="10" s="1"/>
  <c r="E4" i="9"/>
  <c r="D4" i="9"/>
  <c r="D3" i="9"/>
  <c r="C3" i="9"/>
  <c r="B4" i="9" s="1"/>
  <c r="C4" i="9" s="1"/>
  <c r="B5" i="6"/>
  <c r="B6" i="6" s="1"/>
  <c r="D4" i="6"/>
  <c r="B4" i="6"/>
  <c r="C5" i="16" l="1"/>
  <c r="B6" i="16" s="1"/>
  <c r="E5" i="16"/>
  <c r="E9" i="14"/>
  <c r="D5" i="16"/>
  <c r="H12" i="4"/>
  <c r="G12" i="4"/>
  <c r="B7" i="6"/>
  <c r="D7" i="6" s="1"/>
  <c r="D6" i="6"/>
  <c r="D5" i="6"/>
  <c r="E3" i="9"/>
  <c r="B4" i="10"/>
  <c r="G3" i="10"/>
  <c r="B5" i="12"/>
  <c r="C5" i="12" s="1"/>
  <c r="D5" i="12"/>
  <c r="E5" i="12"/>
  <c r="B4" i="11"/>
  <c r="D5" i="10"/>
  <c r="F5" i="10"/>
  <c r="B5" i="9"/>
  <c r="C5" i="9" s="1"/>
  <c r="E14" i="8"/>
  <c r="E13" i="8"/>
  <c r="E12" i="8"/>
  <c r="E11" i="8"/>
  <c r="E10" i="8"/>
  <c r="F10" i="8" s="1"/>
  <c r="D10" i="8"/>
  <c r="E5" i="8"/>
  <c r="E4" i="8"/>
  <c r="F3" i="8"/>
  <c r="B4" i="8" s="1"/>
  <c r="E3" i="8"/>
  <c r="D3" i="8"/>
  <c r="E3" i="6"/>
  <c r="D3" i="6"/>
  <c r="B4" i="5"/>
  <c r="D4" i="5" s="1"/>
  <c r="F3" i="5"/>
  <c r="H3" i="5" s="1"/>
  <c r="E3" i="5"/>
  <c r="D3" i="5"/>
  <c r="C4" i="4"/>
  <c r="C5" i="4" s="1"/>
  <c r="E3" i="4"/>
  <c r="D3" i="4"/>
  <c r="F3" i="4"/>
  <c r="B4" i="4" s="1"/>
  <c r="E4" i="2"/>
  <c r="F3" i="2"/>
  <c r="B4" i="2" s="1"/>
  <c r="E3" i="2"/>
  <c r="D3" i="2"/>
  <c r="F3" i="1"/>
  <c r="E3" i="1"/>
  <c r="D3" i="1"/>
  <c r="D6" i="16" l="1"/>
  <c r="E6" i="16"/>
  <c r="G3" i="4"/>
  <c r="C6" i="4"/>
  <c r="E6" i="4" s="1"/>
  <c r="E5" i="4"/>
  <c r="E4" i="4"/>
  <c r="F4" i="4"/>
  <c r="D4" i="4"/>
  <c r="B11" i="8"/>
  <c r="H10" i="8"/>
  <c r="F3" i="6"/>
  <c r="C4" i="6" s="1"/>
  <c r="B6" i="9"/>
  <c r="C6" i="9" s="1"/>
  <c r="E5" i="9"/>
  <c r="D5" i="9"/>
  <c r="C4" i="11"/>
  <c r="F4" i="11"/>
  <c r="D4" i="11"/>
  <c r="B5" i="11" s="1"/>
  <c r="E4" i="11"/>
  <c r="G3" i="8"/>
  <c r="B6" i="12"/>
  <c r="B5" i="10"/>
  <c r="C5" i="10" s="1"/>
  <c r="C4" i="10"/>
  <c r="D6" i="10"/>
  <c r="E5" i="10"/>
  <c r="G5" i="10"/>
  <c r="F6" i="10"/>
  <c r="D4" i="8"/>
  <c r="F4" i="8"/>
  <c r="H3" i="8"/>
  <c r="G3" i="6"/>
  <c r="C4" i="5"/>
  <c r="F4" i="5" s="1"/>
  <c r="H4" i="5" s="1"/>
  <c r="G3" i="5"/>
  <c r="F4" i="2"/>
  <c r="B5" i="2"/>
  <c r="D4" i="2"/>
  <c r="G3" i="2"/>
  <c r="D6" i="12" l="1"/>
  <c r="E6" i="9"/>
  <c r="D6" i="9"/>
  <c r="B7" i="9"/>
  <c r="C7" i="9" s="1"/>
  <c r="G4" i="4"/>
  <c r="B5" i="4"/>
  <c r="H4" i="4"/>
  <c r="C6" i="12"/>
  <c r="B7" i="12" s="1"/>
  <c r="E6" i="12"/>
  <c r="E4" i="6"/>
  <c r="F4" i="6" s="1"/>
  <c r="C5" i="11"/>
  <c r="E5" i="11"/>
  <c r="F5" i="11"/>
  <c r="D5" i="11"/>
  <c r="D11" i="8"/>
  <c r="F11" i="8" s="1"/>
  <c r="F7" i="10"/>
  <c r="G7" i="10" s="1"/>
  <c r="G6" i="10"/>
  <c r="D7" i="10"/>
  <c r="E7" i="10" s="1"/>
  <c r="E6" i="10"/>
  <c r="H4" i="8"/>
  <c r="G4" i="8"/>
  <c r="B5" i="8"/>
  <c r="I4" i="8"/>
  <c r="C5" i="5"/>
  <c r="E5" i="5" s="1"/>
  <c r="E4" i="5"/>
  <c r="G4" i="5"/>
  <c r="B5" i="5"/>
  <c r="B6" i="2"/>
  <c r="D6" i="2" s="1"/>
  <c r="D5" i="2"/>
  <c r="G4" i="2"/>
  <c r="C5" i="2"/>
  <c r="D7" i="12" l="1"/>
  <c r="C7" i="12"/>
  <c r="B8" i="12" s="1"/>
  <c r="E7" i="12"/>
  <c r="G4" i="6"/>
  <c r="C5" i="6"/>
  <c r="B12" i="8"/>
  <c r="I11" i="8"/>
  <c r="H11" i="8"/>
  <c r="D5" i="4"/>
  <c r="F5" i="4"/>
  <c r="B8" i="9"/>
  <c r="C8" i="9" s="1"/>
  <c r="E7" i="9"/>
  <c r="D7" i="9"/>
  <c r="B6" i="11"/>
  <c r="F5" i="8"/>
  <c r="D5" i="8"/>
  <c r="B6" i="8"/>
  <c r="B6" i="5"/>
  <c r="D5" i="5"/>
  <c r="F5" i="5"/>
  <c r="H5" i="5" s="1"/>
  <c r="E5" i="2"/>
  <c r="F5" i="2"/>
  <c r="E8" i="12" l="1"/>
  <c r="D8" i="12"/>
  <c r="C8" i="12"/>
  <c r="F6" i="11"/>
  <c r="D6" i="11"/>
  <c r="C6" i="11"/>
  <c r="B7" i="11"/>
  <c r="E6" i="11"/>
  <c r="H5" i="4"/>
  <c r="G5" i="4"/>
  <c r="B6" i="4"/>
  <c r="D12" i="8"/>
  <c r="F12" i="8" s="1"/>
  <c r="E8" i="9"/>
  <c r="D8" i="9"/>
  <c r="B9" i="9"/>
  <c r="C9" i="9" s="1"/>
  <c r="E5" i="6"/>
  <c r="F5" i="6" s="1"/>
  <c r="B7" i="8"/>
  <c r="D6" i="8"/>
  <c r="I5" i="8"/>
  <c r="H5" i="8"/>
  <c r="C6" i="8"/>
  <c r="E6" i="8" s="1"/>
  <c r="G5" i="8"/>
  <c r="G5" i="5"/>
  <c r="C6" i="5"/>
  <c r="E6" i="5" s="1"/>
  <c r="B7" i="5"/>
  <c r="B8" i="5" s="1"/>
  <c r="D6" i="5"/>
  <c r="C6" i="2"/>
  <c r="C7" i="2" s="1"/>
  <c r="G5" i="2"/>
  <c r="C6" i="6" l="1"/>
  <c r="G5" i="6"/>
  <c r="H12" i="8"/>
  <c r="B13" i="8"/>
  <c r="I12" i="8"/>
  <c r="B7" i="4"/>
  <c r="F6" i="4"/>
  <c r="D6" i="4"/>
  <c r="E7" i="11"/>
  <c r="D7" i="11"/>
  <c r="C7" i="11"/>
  <c r="F7" i="11"/>
  <c r="D9" i="9"/>
  <c r="E9" i="9"/>
  <c r="F7" i="2"/>
  <c r="E7" i="2"/>
  <c r="D8" i="5"/>
  <c r="B9" i="5"/>
  <c r="F6" i="8"/>
  <c r="D7" i="8"/>
  <c r="D7" i="5"/>
  <c r="F6" i="5"/>
  <c r="H6" i="5" s="1"/>
  <c r="F6" i="2"/>
  <c r="B7" i="2" s="1"/>
  <c r="E6" i="2"/>
  <c r="D7" i="2" l="1"/>
  <c r="B8" i="2"/>
  <c r="D13" i="8"/>
  <c r="F13" i="8" s="1"/>
  <c r="C8" i="2"/>
  <c r="G7" i="2"/>
  <c r="H6" i="4"/>
  <c r="G6" i="4"/>
  <c r="C7" i="4"/>
  <c r="D9" i="5"/>
  <c r="B8" i="4"/>
  <c r="D8" i="4" s="1"/>
  <c r="D7" i="4"/>
  <c r="F6" i="6"/>
  <c r="E6" i="6"/>
  <c r="I6" i="8"/>
  <c r="H6" i="8"/>
  <c r="C7" i="8"/>
  <c r="G6" i="8"/>
  <c r="C7" i="5"/>
  <c r="G6" i="5"/>
  <c r="G6" i="2"/>
  <c r="B14" i="8" l="1"/>
  <c r="I13" i="8"/>
  <c r="H13" i="8"/>
  <c r="F7" i="4"/>
  <c r="E7" i="4"/>
  <c r="G6" i="6"/>
  <c r="C7" i="6"/>
  <c r="B9" i="2"/>
  <c r="D9" i="2" s="1"/>
  <c r="D8" i="2"/>
  <c r="E8" i="2"/>
  <c r="F8" i="2"/>
  <c r="E7" i="8"/>
  <c r="F7" i="8"/>
  <c r="E7" i="5"/>
  <c r="F7" i="5"/>
  <c r="C8" i="4" l="1"/>
  <c r="H7" i="4"/>
  <c r="G7" i="4"/>
  <c r="C8" i="5"/>
  <c r="H7" i="5"/>
  <c r="C9" i="2"/>
  <c r="G8" i="2"/>
  <c r="E7" i="6"/>
  <c r="F7" i="6"/>
  <c r="G7" i="6" s="1"/>
  <c r="D14" i="8"/>
  <c r="F14" i="8" s="1"/>
  <c r="I7" i="8"/>
  <c r="H7" i="8"/>
  <c r="G7" i="8"/>
  <c r="G7" i="5"/>
  <c r="H14" i="8" l="1"/>
  <c r="I14" i="8"/>
  <c r="E8" i="5"/>
  <c r="F8" i="5"/>
  <c r="F9" i="2"/>
  <c r="E9" i="2"/>
  <c r="E8" i="4"/>
  <c r="C9" i="4"/>
  <c r="F8" i="4"/>
  <c r="E9" i="4" l="1"/>
  <c r="C9" i="5"/>
  <c r="H8" i="5"/>
  <c r="G8" i="5"/>
  <c r="G8" i="4"/>
  <c r="H8" i="4"/>
  <c r="B9" i="4"/>
  <c r="G9" i="2"/>
  <c r="D9" i="4" l="1"/>
  <c r="B10" i="4"/>
  <c r="D10" i="4" s="1"/>
  <c r="C10" i="5"/>
  <c r="E9" i="5"/>
  <c r="F9" i="5"/>
  <c r="F9" i="4"/>
  <c r="C10" i="4" s="1"/>
  <c r="C11" i="4" l="1"/>
  <c r="F10" i="4"/>
  <c r="E10" i="4"/>
  <c r="G9" i="5"/>
  <c r="B10" i="5"/>
  <c r="H9" i="5"/>
  <c r="H9" i="4"/>
  <c r="G9" i="4"/>
  <c r="C11" i="5"/>
  <c r="E11" i="5" s="1"/>
  <c r="E10" i="5"/>
  <c r="B11" i="4" l="1"/>
  <c r="G10" i="4"/>
  <c r="H10" i="4"/>
  <c r="F11" i="4"/>
  <c r="E11" i="4"/>
  <c r="D10" i="5"/>
  <c r="F10" i="5"/>
  <c r="G11" i="4" l="1"/>
  <c r="H11" i="4"/>
  <c r="D11" i="4"/>
  <c r="G10" i="5"/>
  <c r="B11" i="5"/>
  <c r="H10" i="5"/>
  <c r="D11" i="5" l="1"/>
  <c r="B12" i="5"/>
  <c r="F11" i="5"/>
  <c r="H11" i="5" l="1"/>
  <c r="C12" i="5"/>
  <c r="E12" i="5" s="1"/>
  <c r="G11" i="5"/>
  <c r="D12" i="5"/>
  <c r="F12" i="5" l="1"/>
  <c r="G12" i="5" s="1"/>
  <c r="H12" i="5" l="1"/>
  <c r="C6" i="16"/>
  <c r="B7" i="16" s="1"/>
  <c r="C7" i="16" s="1"/>
</calcChain>
</file>

<file path=xl/sharedStrings.xml><?xml version="1.0" encoding="utf-8"?>
<sst xmlns="http://schemas.openxmlformats.org/spreadsheetml/2006/main" count="158" uniqueCount="35">
  <si>
    <t>i</t>
  </si>
  <si>
    <r>
      <t>x</t>
    </r>
    <r>
      <rPr>
        <i/>
        <vertAlign val="subscript"/>
        <sz val="20"/>
        <color theme="1"/>
        <rFont val="Times New Roman"/>
        <family val="1"/>
      </rPr>
      <t>l</t>
    </r>
  </si>
  <si>
    <r>
      <t>f(x</t>
    </r>
    <r>
      <rPr>
        <i/>
        <vertAlign val="subscript"/>
        <sz val="20"/>
        <color theme="1"/>
        <rFont val="Times New Roman"/>
        <family val="1"/>
      </rPr>
      <t>l</t>
    </r>
    <r>
      <rPr>
        <i/>
        <sz val="20"/>
        <color theme="1"/>
        <rFont val="Times New Roman"/>
        <family val="1"/>
      </rPr>
      <t>)</t>
    </r>
  </si>
  <si>
    <r>
      <t>x</t>
    </r>
    <r>
      <rPr>
        <i/>
        <vertAlign val="subscript"/>
        <sz val="20"/>
        <color theme="1"/>
        <rFont val="Times New Roman"/>
        <family val="1"/>
      </rPr>
      <t>i</t>
    </r>
  </si>
  <si>
    <r>
      <t>f(x</t>
    </r>
    <r>
      <rPr>
        <i/>
        <vertAlign val="subscript"/>
        <sz val="20"/>
        <color theme="1"/>
        <rFont val="Times New Roman"/>
        <family val="1"/>
      </rPr>
      <t>i</t>
    </r>
    <r>
      <rPr>
        <i/>
        <sz val="20"/>
        <color theme="1"/>
        <rFont val="Times New Roman"/>
        <family val="1"/>
      </rPr>
      <t>)</t>
    </r>
  </si>
  <si>
    <r>
      <t xml:space="preserve">Exemplo 1
Método da Bisseção
</t>
    </r>
    <r>
      <rPr>
        <i/>
        <sz val="20"/>
        <color theme="1"/>
        <rFont val="Times New Roman"/>
        <family val="1"/>
      </rPr>
      <t>f(x) = e</t>
    </r>
    <r>
      <rPr>
        <i/>
        <vertAlign val="superscript"/>
        <sz val="20"/>
        <color theme="1"/>
        <rFont val="Times New Roman"/>
        <family val="1"/>
      </rPr>
      <t>-x</t>
    </r>
    <r>
      <rPr>
        <i/>
        <sz val="20"/>
        <color theme="1"/>
        <rFont val="Times New Roman"/>
        <family val="1"/>
      </rPr>
      <t>-x</t>
    </r>
    <r>
      <rPr>
        <sz val="20"/>
        <color theme="1"/>
        <rFont val="Calibri"/>
        <family val="2"/>
        <scheme val="minor"/>
      </rPr>
      <t xml:space="preserve">,  </t>
    </r>
    <r>
      <rPr>
        <i/>
        <sz val="20"/>
        <color theme="1"/>
        <rFont val="Times New Roman"/>
        <family val="1"/>
      </rPr>
      <t>[0, 1]</t>
    </r>
  </si>
  <si>
    <t>-</t>
  </si>
  <si>
    <r>
      <t>ɛ</t>
    </r>
    <r>
      <rPr>
        <i/>
        <vertAlign val="subscript"/>
        <sz val="20"/>
        <color theme="1"/>
        <rFont val="Times New Roman"/>
        <family val="1"/>
      </rPr>
      <t>T,i</t>
    </r>
    <r>
      <rPr>
        <i/>
        <sz val="20"/>
        <color theme="1"/>
        <rFont val="Times New Roman"/>
        <family val="1"/>
      </rPr>
      <t>(%)</t>
    </r>
  </si>
  <si>
    <r>
      <t>ɛ</t>
    </r>
    <r>
      <rPr>
        <i/>
        <vertAlign val="subscript"/>
        <sz val="20"/>
        <color theme="1"/>
        <rFont val="Times New Roman"/>
        <family val="1"/>
      </rPr>
      <t>a,i</t>
    </r>
    <r>
      <rPr>
        <i/>
        <sz val="20"/>
        <color theme="1"/>
        <rFont val="Times New Roman"/>
        <family val="1"/>
      </rPr>
      <t>(%)</t>
    </r>
  </si>
  <si>
    <r>
      <t xml:space="preserve">Exemplo 2
Método da Bisseção, cálculo de erros
</t>
    </r>
    <r>
      <rPr>
        <i/>
        <sz val="20"/>
        <color theme="1"/>
        <rFont val="Times New Roman"/>
        <family val="1"/>
      </rPr>
      <t>f(x) = e</t>
    </r>
    <r>
      <rPr>
        <i/>
        <vertAlign val="superscript"/>
        <sz val="20"/>
        <color theme="1"/>
        <rFont val="Times New Roman"/>
        <family val="1"/>
      </rPr>
      <t>-x</t>
    </r>
    <r>
      <rPr>
        <i/>
        <sz val="20"/>
        <color theme="1"/>
        <rFont val="Times New Roman"/>
        <family val="1"/>
      </rPr>
      <t>-x</t>
    </r>
    <r>
      <rPr>
        <sz val="20"/>
        <color theme="1"/>
        <rFont val="Calibri"/>
        <family val="2"/>
        <scheme val="minor"/>
      </rPr>
      <t xml:space="preserve">,  </t>
    </r>
    <r>
      <rPr>
        <i/>
        <sz val="20"/>
        <color theme="1"/>
        <rFont val="Times New Roman"/>
        <family val="1"/>
      </rPr>
      <t>[0, 1]</t>
    </r>
  </si>
  <si>
    <r>
      <rPr>
        <i/>
        <sz val="20"/>
        <color theme="1"/>
        <rFont val="Times New Roman"/>
        <family val="1"/>
      </rPr>
      <t>ɛ</t>
    </r>
    <r>
      <rPr>
        <i/>
        <vertAlign val="subscript"/>
        <sz val="20"/>
        <color theme="1"/>
        <rFont val="Times New Roman"/>
        <family val="1"/>
      </rPr>
      <t>a,i</t>
    </r>
    <r>
      <rPr>
        <i/>
        <sz val="20"/>
        <color theme="1"/>
        <rFont val="Times New Roman"/>
        <family val="1"/>
      </rPr>
      <t>(%)</t>
    </r>
  </si>
  <si>
    <r>
      <t xml:space="preserve">Exemplo 3
Método da Bisseção
</t>
    </r>
    <r>
      <rPr>
        <i/>
        <sz val="20"/>
        <color theme="1"/>
        <rFont val="Times New Roman"/>
        <family val="1"/>
      </rPr>
      <t>f(x) = x</t>
    </r>
    <r>
      <rPr>
        <i/>
        <vertAlign val="superscript"/>
        <sz val="20"/>
        <color theme="1"/>
        <rFont val="Times New Roman"/>
        <family val="1"/>
      </rPr>
      <t>3</t>
    </r>
    <r>
      <rPr>
        <i/>
        <sz val="20"/>
        <color theme="1"/>
        <rFont val="Times New Roman"/>
        <family val="1"/>
      </rPr>
      <t>+5x</t>
    </r>
    <r>
      <rPr>
        <i/>
        <vertAlign val="superscript"/>
        <sz val="20"/>
        <color theme="1"/>
        <rFont val="Times New Roman"/>
        <family val="1"/>
      </rPr>
      <t>2</t>
    </r>
    <r>
      <rPr>
        <i/>
        <sz val="20"/>
        <color theme="1"/>
        <rFont val="Times New Roman"/>
        <family val="1"/>
      </rPr>
      <t>-10</t>
    </r>
    <r>
      <rPr>
        <sz val="20"/>
        <color theme="1"/>
        <rFont val="Calibri"/>
        <family val="2"/>
        <scheme val="minor"/>
      </rPr>
      <t xml:space="preserve">,  </t>
    </r>
    <r>
      <rPr>
        <i/>
        <sz val="20"/>
        <color theme="1"/>
        <rFont val="Times New Roman"/>
        <family val="1"/>
      </rPr>
      <t>[-5, 2]</t>
    </r>
  </si>
  <si>
    <r>
      <t>E</t>
    </r>
    <r>
      <rPr>
        <i/>
        <vertAlign val="subscript"/>
        <sz val="20"/>
        <color theme="1"/>
        <rFont val="Times New Roman"/>
        <family val="1"/>
      </rPr>
      <t>a,i</t>
    </r>
  </si>
  <si>
    <r>
      <t>x</t>
    </r>
    <r>
      <rPr>
        <i/>
        <vertAlign val="subscript"/>
        <sz val="20"/>
        <color theme="1"/>
        <rFont val="Times New Roman"/>
        <family val="1"/>
      </rPr>
      <t>u</t>
    </r>
  </si>
  <si>
    <r>
      <t>f(x</t>
    </r>
    <r>
      <rPr>
        <i/>
        <vertAlign val="subscript"/>
        <sz val="20"/>
        <color theme="1"/>
        <rFont val="Times New Roman"/>
        <family val="1"/>
      </rPr>
      <t>u</t>
    </r>
    <r>
      <rPr>
        <i/>
        <sz val="20"/>
        <color theme="1"/>
        <rFont val="Times New Roman"/>
        <family val="1"/>
      </rPr>
      <t>)</t>
    </r>
  </si>
  <si>
    <r>
      <t xml:space="preserve">Exemplo 5
Método de Falsa posição, cálculo de erros
</t>
    </r>
    <r>
      <rPr>
        <i/>
        <sz val="20"/>
        <color theme="1"/>
        <rFont val="Times New Roman"/>
        <family val="1"/>
      </rPr>
      <t>f(x) = e</t>
    </r>
    <r>
      <rPr>
        <i/>
        <vertAlign val="superscript"/>
        <sz val="20"/>
        <color theme="1"/>
        <rFont val="Times New Roman"/>
        <family val="1"/>
      </rPr>
      <t>-x</t>
    </r>
    <r>
      <rPr>
        <i/>
        <sz val="20"/>
        <color theme="1"/>
        <rFont val="Times New Roman"/>
        <family val="1"/>
      </rPr>
      <t>-x</t>
    </r>
    <r>
      <rPr>
        <sz val="20"/>
        <color theme="1"/>
        <rFont val="Calibri"/>
        <family val="2"/>
        <scheme val="minor"/>
      </rPr>
      <t xml:space="preserve">,  </t>
    </r>
    <r>
      <rPr>
        <i/>
        <sz val="20"/>
        <color theme="1"/>
        <rFont val="Times New Roman"/>
        <family val="1"/>
      </rPr>
      <t>[0, 1]</t>
    </r>
  </si>
  <si>
    <r>
      <t>ɛ</t>
    </r>
    <r>
      <rPr>
        <i/>
        <vertAlign val="subscript"/>
        <sz val="20"/>
        <color theme="1"/>
        <rFont val="Times New Roman"/>
        <family val="1"/>
      </rPr>
      <t>T,i</t>
    </r>
    <r>
      <rPr>
        <i/>
        <sz val="20"/>
        <color theme="1"/>
        <rFont val="Times New Roman"/>
        <family val="1"/>
      </rPr>
      <t>(%) FP</t>
    </r>
  </si>
  <si>
    <r>
      <t>ɛ</t>
    </r>
    <r>
      <rPr>
        <i/>
        <vertAlign val="subscript"/>
        <sz val="20"/>
        <color theme="1"/>
        <rFont val="Times New Roman"/>
        <family val="1"/>
      </rPr>
      <t>T,i</t>
    </r>
    <r>
      <rPr>
        <i/>
        <sz val="20"/>
        <color theme="1"/>
        <rFont val="Times New Roman"/>
        <family val="1"/>
      </rPr>
      <t>(%) BS</t>
    </r>
  </si>
  <si>
    <t>Método de Falsa Posição</t>
  </si>
  <si>
    <r>
      <t xml:space="preserve">Exemplo 6
</t>
    </r>
    <r>
      <rPr>
        <i/>
        <sz val="20"/>
        <color theme="1"/>
        <rFont val="Times New Roman"/>
        <family val="1"/>
      </rPr>
      <t>f(x) = x</t>
    </r>
    <r>
      <rPr>
        <i/>
        <vertAlign val="superscript"/>
        <sz val="20"/>
        <color theme="1"/>
        <rFont val="Times New Roman"/>
        <family val="1"/>
      </rPr>
      <t>10</t>
    </r>
    <r>
      <rPr>
        <i/>
        <sz val="20"/>
        <color theme="1"/>
        <rFont val="Times New Roman"/>
        <family val="1"/>
      </rPr>
      <t>-1</t>
    </r>
    <r>
      <rPr>
        <sz val="20"/>
        <color theme="1"/>
        <rFont val="Calibri"/>
        <family val="2"/>
        <scheme val="minor"/>
      </rPr>
      <t xml:space="preserve">,  </t>
    </r>
    <r>
      <rPr>
        <i/>
        <sz val="20"/>
        <color theme="1"/>
        <rFont val="Times New Roman"/>
        <family val="1"/>
      </rPr>
      <t>[0; 1,3]
Método de bisseção</t>
    </r>
  </si>
  <si>
    <r>
      <t>g(x</t>
    </r>
    <r>
      <rPr>
        <i/>
        <vertAlign val="subscript"/>
        <sz val="20"/>
        <color theme="1"/>
        <rFont val="Times New Roman"/>
        <family val="1"/>
      </rPr>
      <t>i</t>
    </r>
    <r>
      <rPr>
        <i/>
        <sz val="20"/>
        <color theme="1"/>
        <rFont val="Times New Roman"/>
        <family val="1"/>
      </rPr>
      <t>)</t>
    </r>
  </si>
  <si>
    <r>
      <t xml:space="preserve">Exemplo 7
Método de Ponto Fixo
</t>
    </r>
    <r>
      <rPr>
        <i/>
        <sz val="20"/>
        <color theme="1"/>
        <rFont val="Times New Roman"/>
        <family val="1"/>
      </rPr>
      <t>f(x) = e</t>
    </r>
    <r>
      <rPr>
        <i/>
        <vertAlign val="superscript"/>
        <sz val="20"/>
        <color theme="1"/>
        <rFont val="Times New Roman"/>
        <family val="1"/>
      </rPr>
      <t>-x</t>
    </r>
    <r>
      <rPr>
        <i/>
        <sz val="20"/>
        <color theme="1"/>
        <rFont val="Times New Roman"/>
        <family val="1"/>
      </rPr>
      <t>-x</t>
    </r>
    <r>
      <rPr>
        <sz val="20"/>
        <color theme="1"/>
        <rFont val="Calibri"/>
        <family val="2"/>
        <scheme val="minor"/>
      </rPr>
      <t xml:space="preserve">, </t>
    </r>
    <r>
      <rPr>
        <i/>
        <sz val="20"/>
        <color theme="1"/>
        <rFont val="Times New Roman"/>
        <family val="1"/>
      </rPr>
      <t>g(x) = e</t>
    </r>
    <r>
      <rPr>
        <i/>
        <vertAlign val="superscript"/>
        <sz val="20"/>
        <color theme="1"/>
        <rFont val="Times New Roman"/>
        <family val="1"/>
      </rPr>
      <t>-x</t>
    </r>
    <r>
      <rPr>
        <i/>
        <sz val="20"/>
        <color theme="1"/>
        <rFont val="Times New Roman"/>
        <family val="1"/>
      </rPr>
      <t>,</t>
    </r>
    <r>
      <rPr>
        <sz val="20"/>
        <color theme="1"/>
        <rFont val="Calibri"/>
        <family val="2"/>
        <scheme val="minor"/>
      </rPr>
      <t xml:space="preserve"> </t>
    </r>
    <r>
      <rPr>
        <i/>
        <sz val="20"/>
        <color theme="1"/>
        <rFont val="Times New Roman"/>
        <family val="1"/>
      </rPr>
      <t>x</t>
    </r>
    <r>
      <rPr>
        <i/>
        <vertAlign val="subscript"/>
        <sz val="20"/>
        <color theme="1"/>
        <rFont val="Times New Roman"/>
        <family val="1"/>
      </rPr>
      <t>0</t>
    </r>
    <r>
      <rPr>
        <i/>
        <sz val="20"/>
        <color theme="1"/>
        <rFont val="Times New Roman"/>
        <family val="1"/>
      </rPr>
      <t>=0</t>
    </r>
  </si>
  <si>
    <r>
      <t>ɛ</t>
    </r>
    <r>
      <rPr>
        <i/>
        <vertAlign val="subscript"/>
        <sz val="20"/>
        <color theme="1"/>
        <rFont val="Times New Roman"/>
        <family val="1"/>
      </rPr>
      <t>T,i</t>
    </r>
    <r>
      <rPr>
        <i/>
        <sz val="20"/>
        <color theme="1"/>
        <rFont val="Times New Roman"/>
        <family val="1"/>
      </rPr>
      <t xml:space="preserve">(%) </t>
    </r>
  </si>
  <si>
    <r>
      <t>ɛ</t>
    </r>
    <r>
      <rPr>
        <i/>
        <vertAlign val="subscript"/>
        <sz val="20"/>
        <color theme="1"/>
        <rFont val="Times New Roman"/>
        <family val="1"/>
      </rPr>
      <t>a,i</t>
    </r>
    <r>
      <rPr>
        <i/>
        <sz val="20"/>
        <color theme="1"/>
        <rFont val="Times New Roman"/>
        <family val="1"/>
      </rPr>
      <t xml:space="preserve">(%) </t>
    </r>
  </si>
  <si>
    <r>
      <t>g</t>
    </r>
    <r>
      <rPr>
        <i/>
        <vertAlign val="subscript"/>
        <sz val="20"/>
        <color theme="1"/>
        <rFont val="Times New Roman"/>
        <family val="1"/>
      </rPr>
      <t>1</t>
    </r>
    <r>
      <rPr>
        <i/>
        <sz val="20"/>
        <color theme="1"/>
        <rFont val="Times New Roman"/>
        <family val="1"/>
      </rPr>
      <t>(x</t>
    </r>
    <r>
      <rPr>
        <i/>
        <vertAlign val="subscript"/>
        <sz val="20"/>
        <color theme="1"/>
        <rFont val="Times New Roman"/>
        <family val="1"/>
      </rPr>
      <t>i</t>
    </r>
    <r>
      <rPr>
        <i/>
        <sz val="20"/>
        <color theme="1"/>
        <rFont val="Times New Roman"/>
        <family val="1"/>
      </rPr>
      <t>)</t>
    </r>
  </si>
  <si>
    <r>
      <t>ɛ</t>
    </r>
    <r>
      <rPr>
        <i/>
        <vertAlign val="subscript"/>
        <sz val="20"/>
        <color theme="1"/>
        <rFont val="Times New Roman"/>
        <family val="1"/>
      </rPr>
      <t>1,i</t>
    </r>
    <r>
      <rPr>
        <i/>
        <sz val="20"/>
        <color theme="1"/>
        <rFont val="Times New Roman"/>
        <family val="1"/>
      </rPr>
      <t xml:space="preserve">(%) </t>
    </r>
  </si>
  <si>
    <r>
      <t>g</t>
    </r>
    <r>
      <rPr>
        <i/>
        <vertAlign val="subscript"/>
        <sz val="20"/>
        <color theme="1"/>
        <rFont val="Times New Roman"/>
        <family val="1"/>
      </rPr>
      <t>2</t>
    </r>
    <r>
      <rPr>
        <i/>
        <sz val="20"/>
        <color theme="1"/>
        <rFont val="Times New Roman"/>
        <family val="1"/>
      </rPr>
      <t>(x</t>
    </r>
    <r>
      <rPr>
        <i/>
        <vertAlign val="subscript"/>
        <sz val="20"/>
        <color theme="1"/>
        <rFont val="Times New Roman"/>
        <family val="1"/>
      </rPr>
      <t>i</t>
    </r>
    <r>
      <rPr>
        <i/>
        <sz val="20"/>
        <color theme="1"/>
        <rFont val="Times New Roman"/>
        <family val="1"/>
      </rPr>
      <t>)</t>
    </r>
  </si>
  <si>
    <r>
      <t>ɛ</t>
    </r>
    <r>
      <rPr>
        <i/>
        <vertAlign val="subscript"/>
        <sz val="20"/>
        <color theme="1"/>
        <rFont val="Times New Roman"/>
        <family val="1"/>
      </rPr>
      <t>2,i</t>
    </r>
    <r>
      <rPr>
        <i/>
        <sz val="20"/>
        <color theme="1"/>
        <rFont val="Times New Roman"/>
        <family val="1"/>
      </rPr>
      <t xml:space="preserve">(%) </t>
    </r>
  </si>
  <si>
    <r>
      <t>g</t>
    </r>
    <r>
      <rPr>
        <i/>
        <vertAlign val="subscript"/>
        <sz val="20"/>
        <color theme="1"/>
        <rFont val="Times New Roman"/>
        <family val="1"/>
      </rPr>
      <t>3</t>
    </r>
    <r>
      <rPr>
        <i/>
        <sz val="20"/>
        <color theme="1"/>
        <rFont val="Times New Roman"/>
        <family val="1"/>
      </rPr>
      <t>(x</t>
    </r>
    <r>
      <rPr>
        <i/>
        <vertAlign val="subscript"/>
        <sz val="20"/>
        <color theme="1"/>
        <rFont val="Times New Roman"/>
        <family val="1"/>
      </rPr>
      <t>i</t>
    </r>
    <r>
      <rPr>
        <i/>
        <sz val="20"/>
        <color theme="1"/>
        <rFont val="Times New Roman"/>
        <family val="1"/>
      </rPr>
      <t>)</t>
    </r>
  </si>
  <si>
    <r>
      <t>ɛ</t>
    </r>
    <r>
      <rPr>
        <i/>
        <vertAlign val="subscript"/>
        <sz val="20"/>
        <color theme="1"/>
        <rFont val="Times New Roman"/>
        <family val="1"/>
      </rPr>
      <t>3,i</t>
    </r>
    <r>
      <rPr>
        <i/>
        <sz val="20"/>
        <color theme="1"/>
        <rFont val="Times New Roman"/>
        <family val="1"/>
      </rPr>
      <t xml:space="preserve">(%) </t>
    </r>
  </si>
  <si>
    <r>
      <t xml:space="preserve">Exemplo 8
Método de Ponto Fixo
</t>
    </r>
    <r>
      <rPr>
        <i/>
        <sz val="20"/>
        <color theme="1"/>
        <rFont val="Times New Roman"/>
        <family val="1"/>
      </rPr>
      <t>f(x) = x3-4x2-10</t>
    </r>
    <r>
      <rPr>
        <sz val="20"/>
        <color theme="1"/>
        <rFont val="Calibri"/>
        <family val="2"/>
        <scheme val="minor"/>
      </rPr>
      <t xml:space="preserve">, </t>
    </r>
    <r>
      <rPr>
        <i/>
        <sz val="20"/>
        <color theme="1"/>
        <rFont val="Times New Roman"/>
        <family val="1"/>
      </rPr>
      <t>g1, g2, g3,</t>
    </r>
    <r>
      <rPr>
        <sz val="20"/>
        <color theme="1"/>
        <rFont val="Calibri"/>
        <family val="2"/>
        <scheme val="minor"/>
      </rPr>
      <t xml:space="preserve"> </t>
    </r>
    <r>
      <rPr>
        <i/>
        <sz val="20"/>
        <color theme="1"/>
        <rFont val="Times New Roman"/>
        <family val="1"/>
      </rPr>
      <t>x</t>
    </r>
    <r>
      <rPr>
        <i/>
        <vertAlign val="subscript"/>
        <sz val="20"/>
        <color theme="1"/>
        <rFont val="Times New Roman"/>
        <family val="1"/>
      </rPr>
      <t>0</t>
    </r>
    <r>
      <rPr>
        <i/>
        <sz val="20"/>
        <color theme="1"/>
        <rFont val="Times New Roman"/>
        <family val="1"/>
      </rPr>
      <t>=1.5</t>
    </r>
  </si>
  <si>
    <r>
      <t xml:space="preserve">Exemplo 9
Método de Newton-Raphson
</t>
    </r>
    <r>
      <rPr>
        <i/>
        <sz val="20"/>
        <color theme="1"/>
        <rFont val="Times New Roman"/>
        <family val="1"/>
      </rPr>
      <t>f(x) = e</t>
    </r>
    <r>
      <rPr>
        <i/>
        <vertAlign val="superscript"/>
        <sz val="20"/>
        <color theme="1"/>
        <rFont val="Times New Roman"/>
        <family val="1"/>
      </rPr>
      <t>-x</t>
    </r>
    <r>
      <rPr>
        <i/>
        <sz val="20"/>
        <color theme="1"/>
        <rFont val="Times New Roman"/>
        <family val="1"/>
      </rPr>
      <t>-x</t>
    </r>
    <r>
      <rPr>
        <sz val="20"/>
        <color theme="1"/>
        <rFont val="Calibri"/>
        <family val="2"/>
        <scheme val="minor"/>
      </rPr>
      <t xml:space="preserve">, </t>
    </r>
    <r>
      <rPr>
        <i/>
        <sz val="20"/>
        <color theme="1"/>
        <rFont val="Times New Roman"/>
        <family val="1"/>
      </rPr>
      <t>x</t>
    </r>
    <r>
      <rPr>
        <i/>
        <vertAlign val="subscript"/>
        <sz val="20"/>
        <color theme="1"/>
        <rFont val="Times New Roman"/>
        <family val="1"/>
      </rPr>
      <t>0</t>
    </r>
    <r>
      <rPr>
        <i/>
        <sz val="20"/>
        <color theme="1"/>
        <rFont val="Times New Roman"/>
        <family val="1"/>
      </rPr>
      <t>= 0</t>
    </r>
  </si>
  <si>
    <r>
      <t>f´(x</t>
    </r>
    <r>
      <rPr>
        <i/>
        <vertAlign val="subscript"/>
        <sz val="20"/>
        <color theme="1"/>
        <rFont val="Times New Roman"/>
        <family val="1"/>
      </rPr>
      <t>i</t>
    </r>
    <r>
      <rPr>
        <i/>
        <sz val="20"/>
        <color theme="1"/>
        <rFont val="Times New Roman"/>
        <family val="1"/>
      </rPr>
      <t>)</t>
    </r>
  </si>
  <si>
    <r>
      <t xml:space="preserve">Exemplo 10
Método da Secante
</t>
    </r>
    <r>
      <rPr>
        <i/>
        <sz val="20"/>
        <color theme="1"/>
        <rFont val="Times New Roman"/>
        <family val="1"/>
      </rPr>
      <t>f(x) = e</t>
    </r>
    <r>
      <rPr>
        <i/>
        <vertAlign val="superscript"/>
        <sz val="20"/>
        <color theme="1"/>
        <rFont val="Times New Roman"/>
        <family val="1"/>
      </rPr>
      <t>-x</t>
    </r>
    <r>
      <rPr>
        <i/>
        <sz val="20"/>
        <color theme="1"/>
        <rFont val="Times New Roman"/>
        <family val="1"/>
      </rPr>
      <t>-x</t>
    </r>
    <r>
      <rPr>
        <sz val="20"/>
        <color theme="1"/>
        <rFont val="Calibri"/>
        <family val="2"/>
        <scheme val="minor"/>
      </rPr>
      <t xml:space="preserve">, </t>
    </r>
    <r>
      <rPr>
        <i/>
        <sz val="20"/>
        <color theme="1"/>
        <rFont val="Times New Roman"/>
        <family val="1"/>
      </rPr>
      <t>x</t>
    </r>
    <r>
      <rPr>
        <i/>
        <vertAlign val="subscript"/>
        <sz val="20"/>
        <color theme="1"/>
        <rFont val="Times New Roman"/>
        <family val="1"/>
      </rPr>
      <t>0</t>
    </r>
    <r>
      <rPr>
        <i/>
        <sz val="20"/>
        <color theme="1"/>
        <rFont val="Times New Roman"/>
        <family val="1"/>
      </rPr>
      <t>= 0, x</t>
    </r>
    <r>
      <rPr>
        <i/>
        <vertAlign val="subscript"/>
        <sz val="20"/>
        <color theme="1"/>
        <rFont val="Times New Roman"/>
        <family val="1"/>
      </rPr>
      <t>1</t>
    </r>
    <r>
      <rPr>
        <i/>
        <sz val="20"/>
        <color theme="1"/>
        <rFont val="Times New Roman"/>
        <family val="1"/>
      </rPr>
      <t>= 1</t>
    </r>
  </si>
  <si>
    <r>
      <t xml:space="preserve">Exemplo 3
Método da Bisseção
</t>
    </r>
    <r>
      <rPr>
        <i/>
        <sz val="20"/>
        <color theme="1"/>
        <rFont val="Times New Roman"/>
        <family val="1"/>
      </rPr>
      <t>f(x) = x</t>
    </r>
    <r>
      <rPr>
        <i/>
        <vertAlign val="superscript"/>
        <sz val="20"/>
        <color theme="1"/>
        <rFont val="Times New Roman"/>
        <family val="1"/>
      </rPr>
      <t>3</t>
    </r>
    <r>
      <rPr>
        <i/>
        <sz val="20"/>
        <color theme="1"/>
        <rFont val="Times New Roman"/>
        <family val="1"/>
      </rPr>
      <t>+5x</t>
    </r>
    <r>
      <rPr>
        <i/>
        <vertAlign val="superscript"/>
        <sz val="20"/>
        <color theme="1"/>
        <rFont val="Times New Roman"/>
        <family val="1"/>
      </rPr>
      <t>2</t>
    </r>
    <r>
      <rPr>
        <i/>
        <sz val="20"/>
        <color theme="1"/>
        <rFont val="Times New Roman"/>
        <family val="1"/>
      </rPr>
      <t>-10</t>
    </r>
    <r>
      <rPr>
        <sz val="20"/>
        <color theme="1"/>
        <rFont val="Calibri"/>
        <family val="2"/>
        <scheme val="minor"/>
      </rPr>
      <t xml:space="preserve">,  </t>
    </r>
    <r>
      <rPr>
        <i/>
        <sz val="20"/>
        <color theme="1"/>
        <rFont val="Times New Roman"/>
        <family val="1"/>
      </rPr>
      <t>[1, 2]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</si>
</sst>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"/>
    <numFmt numFmtId="167" formatCode="0.000E+00"/>
  </numFmts>
  <fonts count="5" x14ac:knownFonts="1">
    <font>
      <sz val="11"/>
      <color theme="1"/>
      <name val="Calibri"/>
      <family val="2"/>
      <scheme val="minor"/>
    </font>
    <font>
      <i/>
      <sz val="20"/>
      <color theme="1"/>
      <name val="Times New Roman"/>
      <family val="1"/>
    </font>
    <font>
      <i/>
      <vertAlign val="subscript"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i/>
      <vertAlign val="superscript"/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164" fontId="3" fillId="0" borderId="1" xfId="0" applyNumberFormat="1" applyFont="1" applyBorder="1"/>
    <xf numFmtId="164" fontId="3" fillId="0" borderId="6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0" fontId="1" fillId="2" borderId="2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7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3" fillId="0" borderId="1" xfId="0" applyNumberFormat="1" applyFont="1" applyBorder="1"/>
    <xf numFmtId="2" fontId="3" fillId="0" borderId="6" xfId="0" applyNumberFormat="1" applyFont="1" applyBorder="1" applyAlignment="1">
      <alignment horizontal="center"/>
    </xf>
    <xf numFmtId="2" fontId="3" fillId="0" borderId="6" xfId="0" applyNumberFormat="1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0" fontId="1" fillId="2" borderId="8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0" fontId="1" fillId="0" borderId="0" xfId="0" applyFont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3" fillId="0" borderId="6" xfId="0" applyFont="1" applyBorder="1"/>
    <xf numFmtId="11" fontId="3" fillId="0" borderId="6" xfId="0" applyNumberFormat="1" applyFont="1" applyBorder="1"/>
    <xf numFmtId="11" fontId="3" fillId="0" borderId="9" xfId="0" applyNumberFormat="1" applyFont="1" applyBorder="1"/>
    <xf numFmtId="0" fontId="3" fillId="3" borderId="10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 wrapText="1"/>
    </xf>
    <xf numFmtId="0" fontId="3" fillId="3" borderId="12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 wrapText="1"/>
    </xf>
    <xf numFmtId="0" fontId="3" fillId="3" borderId="14" xfId="0" applyFont="1" applyFill="1" applyBorder="1" applyAlignment="1">
      <alignment horizontal="left" wrapText="1"/>
    </xf>
    <xf numFmtId="0" fontId="1" fillId="3" borderId="13" xfId="0" applyFont="1" applyFill="1" applyBorder="1" applyAlignment="1">
      <alignment horizontal="left" wrapText="1"/>
    </xf>
    <xf numFmtId="0" fontId="1" fillId="3" borderId="14" xfId="0" applyFont="1" applyFill="1" applyBorder="1" applyAlignment="1">
      <alignment horizontal="left" wrapText="1"/>
    </xf>
    <xf numFmtId="0" fontId="1" fillId="3" borderId="15" xfId="0" applyFont="1" applyFill="1" applyBorder="1" applyAlignment="1">
      <alignment horizontal="left" wrapText="1"/>
    </xf>
    <xf numFmtId="0" fontId="3" fillId="3" borderId="15" xfId="0" applyFont="1" applyFill="1" applyBorder="1" applyAlignment="1">
      <alignment horizontal="left" wrapText="1"/>
    </xf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'Exemplo 2'!$H$2</c:f>
              <c:strCache>
                <c:ptCount val="1"/>
                <c:pt idx="0">
                  <c:v>ɛT,i(%)</c:v>
                </c:pt>
              </c:strCache>
            </c:strRef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'Exemplo 2'!$A$3:$A$9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'Exemplo 2'!$H$3:$H$9</c:f>
              <c:numCache>
                <c:formatCode>0.00</c:formatCode>
                <c:ptCount val="7"/>
                <c:pt idx="0">
                  <c:v>11.838844228406506</c:v>
                </c:pt>
                <c:pt idx="1">
                  <c:v>32.241733657390242</c:v>
                </c:pt>
                <c:pt idx="2">
                  <c:v>10.201444714491869</c:v>
                </c:pt>
                <c:pt idx="3">
                  <c:v>0.81869975695731856</c:v>
                </c:pt>
                <c:pt idx="4">
                  <c:v>4.691372478767275</c:v>
                </c:pt>
                <c:pt idx="5">
                  <c:v>1.9363363609049782</c:v>
                </c:pt>
                <c:pt idx="6">
                  <c:v>0.55881830197382987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1-45C9-88DF-E010528B6028}"/>
            </c:ext>
          </c:extLst>
        </c:ser>
        <c:ser>
          <c:idx val="1"/>
          <c:order val="1"/>
          <c:tx>
            <c:strRef>
              <c:f>'Exemplo 2'!$I$2</c:f>
              <c:strCache>
                <c:ptCount val="1"/>
                <c:pt idx="0">
                  <c:v>ɛa,i(%)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'Exemplo 2'!$A$3:$A$9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'Exemplo 2'!$I$3:$I$9</c:f>
              <c:numCache>
                <c:formatCode>0.00</c:formatCode>
                <c:ptCount val="7"/>
                <c:pt idx="1">
                  <c:v>33.333333333333329</c:v>
                </c:pt>
                <c:pt idx="2">
                  <c:v>20</c:v>
                </c:pt>
                <c:pt idx="3">
                  <c:v>11.111111111111111</c:v>
                </c:pt>
                <c:pt idx="4">
                  <c:v>5.2631578947368416</c:v>
                </c:pt>
                <c:pt idx="5">
                  <c:v>2.7027027027027026</c:v>
                </c:pt>
                <c:pt idx="6">
                  <c:v>1.3698630136986301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5C9-88DF-E010528B6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89152"/>
        <c:axId val="107536768"/>
      </c:lineChart>
      <c:catAx>
        <c:axId val="1074891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Iterações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07536768"/>
        <c:crosses val="autoZero"/>
        <c:auto val="1"/>
        <c:lblAlgn val="ctr"/>
        <c:lblOffset val="100"/>
        <c:noMultiLvlLbl val="0"/>
      </c:catAx>
      <c:valAx>
        <c:axId val="107536768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pt-BR" sz="1400" b="1" i="0" u="none" strike="noStrike" baseline="0">
                    <a:effectLst/>
                  </a:rPr>
                  <a:t>Erros Verdadeiro e Aproximado (%)</a:t>
                </a:r>
                <a:endParaRPr lang="pt-BR" sz="1400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0748915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'Exemplo 5'!$G$2</c:f>
              <c:strCache>
                <c:ptCount val="1"/>
                <c:pt idx="0">
                  <c:v>ɛT,i(%) FP</c:v>
                </c:pt>
              </c:strCache>
            </c:strRef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val>
            <c:numRef>
              <c:f>'Exemplo 5'!$G$3:$G$7</c:f>
              <c:numCache>
                <c:formatCode>0.00</c:formatCode>
                <c:ptCount val="5"/>
                <c:pt idx="0">
                  <c:v>8.0326515032327119</c:v>
                </c:pt>
                <c:pt idx="1">
                  <c:v>0.88834920184313027</c:v>
                </c:pt>
                <c:pt idx="2">
                  <c:v>9.8743004550702576E-2</c:v>
                </c:pt>
                <c:pt idx="3">
                  <c:v>1.0994160385323413E-2</c:v>
                </c:pt>
                <c:pt idx="4">
                  <c:v>1.2367670978151006E-3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0-407E-A572-780646DF0DAA}"/>
            </c:ext>
          </c:extLst>
        </c:ser>
        <c:ser>
          <c:idx val="1"/>
          <c:order val="1"/>
          <c:tx>
            <c:strRef>
              <c:f>'Exemplo 5'!$H$2</c:f>
              <c:strCache>
                <c:ptCount val="1"/>
                <c:pt idx="0">
                  <c:v>ɛT,i(%) BS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val>
            <c:numRef>
              <c:f>'Exemplo 5'!$H$3:$H$7</c:f>
              <c:numCache>
                <c:formatCode>0.00</c:formatCode>
                <c:ptCount val="5"/>
                <c:pt idx="0">
                  <c:v>11.838844228406504</c:v>
                </c:pt>
                <c:pt idx="1">
                  <c:v>32.241733657390242</c:v>
                </c:pt>
                <c:pt idx="2">
                  <c:v>10.201444714491869</c:v>
                </c:pt>
                <c:pt idx="3">
                  <c:v>0.81869975695731856</c:v>
                </c:pt>
                <c:pt idx="4">
                  <c:v>4.691372478767275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A0-407E-A572-780646DF0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57024"/>
        <c:axId val="107859328"/>
      </c:lineChart>
      <c:catAx>
        <c:axId val="1078570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Iterações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07859328"/>
        <c:crossesAt val="1"/>
        <c:auto val="1"/>
        <c:lblAlgn val="ctr"/>
        <c:lblOffset val="100"/>
        <c:noMultiLvlLbl val="0"/>
      </c:catAx>
      <c:valAx>
        <c:axId val="107859328"/>
        <c:scaling>
          <c:logBase val="10"/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pt-BR" sz="1400" b="1" i="0" u="none" strike="noStrike" baseline="0">
                    <a:effectLst/>
                  </a:rPr>
                  <a:t>Erros Verdadeiro FP e BS (%)</a:t>
                </a:r>
                <a:endParaRPr lang="pt-BR" sz="1400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07857024"/>
        <c:crossesAt val="1"/>
        <c:crossBetween val="between"/>
      </c:valAx>
    </c:plotArea>
    <c:legend>
      <c:legendPos val="b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BS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'Exemplo 6'!$A$4:$A$7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'Exemplo 6'!$I$4:$I$7</c:f>
              <c:numCache>
                <c:formatCode>0.00</c:formatCode>
                <c:ptCount val="4"/>
                <c:pt idx="0">
                  <c:v>33.333333333333336</c:v>
                </c:pt>
                <c:pt idx="1">
                  <c:v>14.28571428571429</c:v>
                </c:pt>
                <c:pt idx="2">
                  <c:v>7.6923076923076952</c:v>
                </c:pt>
                <c:pt idx="3">
                  <c:v>4.0000000000000133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5-4393-BB80-065F0740977B}"/>
            </c:ext>
          </c:extLst>
        </c:ser>
        <c:ser>
          <c:idx val="1"/>
          <c:order val="1"/>
          <c:tx>
            <c:v>FP</c:v>
          </c:tx>
          <c:cat>
            <c:numRef>
              <c:f>'Exemplo 6'!$A$4:$A$7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'Exemplo 6'!$I$11:$I$14</c:f>
              <c:numCache>
                <c:formatCode>0.00</c:formatCode>
                <c:ptCount val="4"/>
                <c:pt idx="0">
                  <c:v>48.118298674839828</c:v>
                </c:pt>
                <c:pt idx="1">
                  <c:v>30.857040307458927</c:v>
                </c:pt>
                <c:pt idx="2">
                  <c:v>22.250800139581951</c:v>
                </c:pt>
                <c:pt idx="3">
                  <c:v>17.106298338811023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F5-4393-BB80-065F0740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57024"/>
        <c:axId val="107859328"/>
      </c:lineChart>
      <c:catAx>
        <c:axId val="1078570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Iterações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07859328"/>
        <c:crossesAt val="1"/>
        <c:auto val="1"/>
        <c:lblAlgn val="ctr"/>
        <c:lblOffset val="100"/>
        <c:noMultiLvlLbl val="0"/>
      </c:catAx>
      <c:valAx>
        <c:axId val="107859328"/>
        <c:scaling>
          <c:logBase val="10"/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pt-BR" sz="1400" b="1" i="0" u="none" strike="noStrike" baseline="0">
                    <a:effectLst/>
                  </a:rPr>
                  <a:t>Erros  FP e BS (%)</a:t>
                </a:r>
                <a:endParaRPr lang="pt-BR" sz="1400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07857024"/>
        <c:crossesAt val="1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3</xdr:row>
      <xdr:rowOff>76199</xdr:rowOff>
    </xdr:from>
    <xdr:to>
      <xdr:col>16</xdr:col>
      <xdr:colOff>388471</xdr:colOff>
      <xdr:row>24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3</xdr:row>
      <xdr:rowOff>76199</xdr:rowOff>
    </xdr:from>
    <xdr:to>
      <xdr:col>16</xdr:col>
      <xdr:colOff>388471</xdr:colOff>
      <xdr:row>24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3</xdr:row>
      <xdr:rowOff>76199</xdr:rowOff>
    </xdr:from>
    <xdr:to>
      <xdr:col>16</xdr:col>
      <xdr:colOff>388471</xdr:colOff>
      <xdr:row>24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71CEC7-ECF8-4EB0-A6CA-F339DB6BA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workbookViewId="0">
      <selection activeCell="F6" sqref="F6"/>
    </sheetView>
  </sheetViews>
  <sheetFormatPr defaultColWidth="0" defaultRowHeight="25.5" zeroHeight="1" x14ac:dyDescent="0.75"/>
  <cols>
    <col min="1" max="1" width="6" style="1" customWidth="1"/>
    <col min="2" max="4" width="16.53125" style="1" bestFit="1" customWidth="1"/>
    <col min="5" max="5" width="18.1328125" style="1" bestFit="1" customWidth="1"/>
    <col min="6" max="6" width="16.53125" style="1" bestFit="1" customWidth="1"/>
    <col min="7" max="7" width="18.1328125" style="1" bestFit="1" customWidth="1"/>
    <col min="8" max="32" width="0" style="1" hidden="1" customWidth="1"/>
    <col min="33" max="16384" width="9.1328125" style="1" hidden="1"/>
  </cols>
  <sheetData>
    <row r="1" spans="1:7" ht="84.75" customHeight="1" thickBot="1" x14ac:dyDescent="0.8">
      <c r="A1" s="35" t="s">
        <v>5</v>
      </c>
      <c r="B1" s="36"/>
      <c r="C1" s="36"/>
      <c r="D1" s="36"/>
      <c r="E1" s="36"/>
      <c r="F1" s="36"/>
      <c r="G1" s="37"/>
    </row>
    <row r="2" spans="1:7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10" t="s">
        <v>4</v>
      </c>
    </row>
    <row r="3" spans="1:7" x14ac:dyDescent="0.75">
      <c r="A3" s="7">
        <v>1</v>
      </c>
      <c r="B3" s="2">
        <v>0</v>
      </c>
      <c r="C3" s="2">
        <v>1</v>
      </c>
      <c r="D3" s="2">
        <f t="shared" ref="D3:E5" si="0">EXP(-B3)-B3</f>
        <v>1</v>
      </c>
      <c r="E3" s="2">
        <f t="shared" si="0"/>
        <v>-0.63212055882855767</v>
      </c>
      <c r="F3" s="2">
        <f>(C3+B3)/2</f>
        <v>0.5</v>
      </c>
      <c r="G3" s="3">
        <f>EXP(-F3)-F3</f>
        <v>0.10653065971263342</v>
      </c>
    </row>
    <row r="4" spans="1:7" x14ac:dyDescent="0.75">
      <c r="A4" s="7">
        <v>2</v>
      </c>
      <c r="B4" s="2">
        <f>F3</f>
        <v>0.5</v>
      </c>
      <c r="C4" s="2">
        <f>C3</f>
        <v>1</v>
      </c>
      <c r="D4" s="2">
        <f t="shared" si="0"/>
        <v>0.10653065971263342</v>
      </c>
      <c r="E4" s="2">
        <f t="shared" si="0"/>
        <v>-0.63212055882855767</v>
      </c>
      <c r="F4" s="2">
        <f>(C4+B4)/2</f>
        <v>0.75</v>
      </c>
      <c r="G4" s="3">
        <f>EXP(-F4)-F4</f>
        <v>-0.27763344725898531</v>
      </c>
    </row>
    <row r="5" spans="1:7" x14ac:dyDescent="0.75">
      <c r="A5" s="7">
        <v>3</v>
      </c>
      <c r="B5" s="2">
        <f>B4</f>
        <v>0.5</v>
      </c>
      <c r="C5" s="2">
        <f>F4</f>
        <v>0.75</v>
      </c>
      <c r="D5" s="2">
        <f t="shared" si="0"/>
        <v>0.10653065971263342</v>
      </c>
      <c r="E5" s="2">
        <f t="shared" si="0"/>
        <v>-0.27763344725898531</v>
      </c>
      <c r="F5" s="2">
        <f>(C5+B5)/2</f>
        <v>0.625</v>
      </c>
      <c r="G5" s="3">
        <f>EXP(-F5)-F5</f>
        <v>-8.9738571481009721E-2</v>
      </c>
    </row>
    <row r="6" spans="1:7" ht="25.9" thickBot="1" x14ac:dyDescent="0.8">
      <c r="A6" s="8">
        <v>4</v>
      </c>
      <c r="B6" s="4">
        <f>B5</f>
        <v>0.5</v>
      </c>
      <c r="C6" s="4">
        <f>F5</f>
        <v>0.625</v>
      </c>
      <c r="D6" s="2">
        <f t="shared" ref="D6" si="1">EXP(-B6)-B6</f>
        <v>0.10653065971263342</v>
      </c>
      <c r="E6" s="2">
        <f t="shared" ref="E6" si="2">EXP(-C6)-C6</f>
        <v>-8.9738571481009721E-2</v>
      </c>
      <c r="F6" s="2">
        <f>(C6+B6)/2</f>
        <v>0.5625</v>
      </c>
      <c r="G6" s="3">
        <f>EXP(-F6)-F6</f>
        <v>7.2828247309230099E-3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C8DE-6B93-415D-A785-08B6BE9A0026}">
  <dimension ref="A1:AF30"/>
  <sheetViews>
    <sheetView zoomScale="145" zoomScaleNormal="145" workbookViewId="0">
      <selection activeCell="B3" sqref="B3:G6"/>
    </sheetView>
  </sheetViews>
  <sheetFormatPr defaultColWidth="0" defaultRowHeight="25.8" customHeight="1" zeroHeight="1" x14ac:dyDescent="0.75"/>
  <cols>
    <col min="1" max="1" width="6" style="1" customWidth="1"/>
    <col min="2" max="4" width="16.53125" style="1" bestFit="1" customWidth="1"/>
    <col min="5" max="5" width="18.1328125" style="1" bestFit="1" customWidth="1"/>
    <col min="6" max="6" width="16.53125" style="1" bestFit="1" customWidth="1"/>
    <col min="7" max="7" width="18.1328125" style="1" bestFit="1" customWidth="1"/>
    <col min="8" max="32" width="0" style="1" hidden="1" customWidth="1"/>
    <col min="33" max="16384" width="9.1328125" style="1" hidden="1"/>
  </cols>
  <sheetData>
    <row r="1" spans="1:7" ht="84.75" customHeight="1" thickBot="1" x14ac:dyDescent="0.8">
      <c r="A1" s="35" t="s">
        <v>5</v>
      </c>
      <c r="B1" s="36"/>
      <c r="C1" s="36"/>
      <c r="D1" s="36"/>
      <c r="E1" s="36"/>
      <c r="F1" s="36"/>
      <c r="G1" s="37"/>
    </row>
    <row r="2" spans="1:7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10" t="s">
        <v>4</v>
      </c>
    </row>
    <row r="3" spans="1:7" ht="25.5" x14ac:dyDescent="0.75">
      <c r="A3" s="7">
        <v>1</v>
      </c>
      <c r="B3" s="2"/>
      <c r="C3" s="2"/>
      <c r="D3" s="2"/>
      <c r="E3" s="2"/>
      <c r="F3" s="2"/>
      <c r="G3" s="3"/>
    </row>
    <row r="4" spans="1:7" ht="25.5" x14ac:dyDescent="0.75">
      <c r="A4" s="7">
        <v>2</v>
      </c>
      <c r="B4" s="2"/>
      <c r="C4" s="2"/>
      <c r="D4" s="2"/>
      <c r="E4" s="2"/>
      <c r="F4" s="2"/>
      <c r="G4" s="3"/>
    </row>
    <row r="5" spans="1:7" ht="25.5" x14ac:dyDescent="0.75">
      <c r="A5" s="7">
        <v>3</v>
      </c>
      <c r="B5" s="2"/>
      <c r="C5" s="2"/>
      <c r="D5" s="2"/>
      <c r="E5" s="2"/>
      <c r="F5" s="2"/>
      <c r="G5" s="3"/>
    </row>
    <row r="6" spans="1:7" ht="25.9" thickBot="1" x14ac:dyDescent="0.8">
      <c r="A6" s="8">
        <v>4</v>
      </c>
      <c r="B6" s="2"/>
      <c r="C6" s="2"/>
      <c r="D6" s="2"/>
      <c r="E6" s="2"/>
      <c r="F6" s="2"/>
      <c r="G6" s="3"/>
    </row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  <row r="30" ht="25.5" hidden="1" x14ac:dyDescent="0.75"/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"/>
  <sheetViews>
    <sheetView topLeftCell="B1" zoomScaleNormal="100" workbookViewId="0">
      <selection activeCell="I4" sqref="I4:I9"/>
    </sheetView>
  </sheetViews>
  <sheetFormatPr defaultColWidth="0" defaultRowHeight="26.25" customHeight="1" zeroHeight="1" x14ac:dyDescent="0.75"/>
  <cols>
    <col min="1" max="1" width="6" style="1" customWidth="1"/>
    <col min="2" max="4" width="16.53125" style="1" bestFit="1" customWidth="1"/>
    <col min="5" max="5" width="18.1328125" style="1" bestFit="1" customWidth="1"/>
    <col min="6" max="6" width="16.53125" style="1" bestFit="1" customWidth="1"/>
    <col min="7" max="7" width="18.1328125" style="1" bestFit="1" customWidth="1"/>
    <col min="8" max="8" width="14.33203125" style="1" bestFit="1" customWidth="1"/>
    <col min="9" max="9" width="14" style="1" customWidth="1"/>
    <col min="10" max="32" width="0" style="1" hidden="1" customWidth="1"/>
    <col min="33" max="16384" width="9.1328125" style="1" hidden="1"/>
  </cols>
  <sheetData>
    <row r="1" spans="1:9" ht="84.75" customHeight="1" thickBot="1" x14ac:dyDescent="0.8">
      <c r="A1" s="35" t="s">
        <v>9</v>
      </c>
      <c r="B1" s="38"/>
      <c r="C1" s="38"/>
      <c r="D1" s="38"/>
      <c r="E1" s="38"/>
      <c r="F1" s="38"/>
      <c r="G1" s="38"/>
      <c r="H1" s="38"/>
      <c r="I1" s="39"/>
    </row>
    <row r="2" spans="1:9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4</v>
      </c>
      <c r="H2" s="9" t="s">
        <v>7</v>
      </c>
      <c r="I2" s="10" t="s">
        <v>8</v>
      </c>
    </row>
    <row r="3" spans="1:9" ht="25.5" x14ac:dyDescent="0.75">
      <c r="A3" s="7">
        <v>1</v>
      </c>
      <c r="B3" s="2">
        <v>0</v>
      </c>
      <c r="C3" s="2">
        <v>1</v>
      </c>
      <c r="D3" s="2">
        <f t="shared" ref="D3:E9" si="0">EXP(-B3)-B3</f>
        <v>1</v>
      </c>
      <c r="E3" s="2">
        <f t="shared" si="0"/>
        <v>-0.63212055882855767</v>
      </c>
      <c r="F3" s="2">
        <f>(C3+B3)/2</f>
        <v>0.5</v>
      </c>
      <c r="G3" s="2">
        <f t="shared" ref="G3:G9" si="1">EXP(-F3)-F3</f>
        <v>0.10653065971263342</v>
      </c>
      <c r="H3" s="12">
        <f t="shared" ref="H3:H9" si="2">100*ABS((F3-0.5671432)/0.5671432)</f>
        <v>11.838844228406506</v>
      </c>
      <c r="I3" s="13"/>
    </row>
    <row r="4" spans="1:9" ht="25.5" x14ac:dyDescent="0.75">
      <c r="A4" s="7">
        <v>2</v>
      </c>
      <c r="B4" s="2">
        <f>F3</f>
        <v>0.5</v>
      </c>
      <c r="C4" s="2">
        <v>1</v>
      </c>
      <c r="D4" s="2">
        <f t="shared" si="0"/>
        <v>0.10653065971263342</v>
      </c>
      <c r="E4" s="2">
        <f t="shared" si="0"/>
        <v>-0.63212055882855767</v>
      </c>
      <c r="F4" s="2">
        <f t="shared" ref="F4:F9" si="3">(C4+B4)/2</f>
        <v>0.75</v>
      </c>
      <c r="G4" s="2">
        <f t="shared" si="1"/>
        <v>-0.27763344725898531</v>
      </c>
      <c r="H4" s="12">
        <f t="shared" si="2"/>
        <v>32.241733657390242</v>
      </c>
      <c r="I4" s="14">
        <f t="shared" ref="I4:I9" si="4">100*ABS((F4-F3)/F4)</f>
        <v>33.333333333333329</v>
      </c>
    </row>
    <row r="5" spans="1:9" ht="25.5" x14ac:dyDescent="0.75">
      <c r="A5" s="7">
        <v>3</v>
      </c>
      <c r="B5" s="2">
        <f>B4</f>
        <v>0.5</v>
      </c>
      <c r="C5" s="2">
        <f>F4</f>
        <v>0.75</v>
      </c>
      <c r="D5" s="2">
        <f t="shared" si="0"/>
        <v>0.10653065971263342</v>
      </c>
      <c r="E5" s="2">
        <f t="shared" si="0"/>
        <v>-0.27763344725898531</v>
      </c>
      <c r="F5" s="2">
        <f t="shared" si="3"/>
        <v>0.625</v>
      </c>
      <c r="G5" s="2">
        <f t="shared" si="1"/>
        <v>-8.9738571481009721E-2</v>
      </c>
      <c r="H5" s="12">
        <f t="shared" si="2"/>
        <v>10.201444714491869</v>
      </c>
      <c r="I5" s="14">
        <f t="shared" si="4"/>
        <v>20</v>
      </c>
    </row>
    <row r="6" spans="1:9" ht="25.5" x14ac:dyDescent="0.75">
      <c r="A6" s="7">
        <v>4</v>
      </c>
      <c r="B6" s="2">
        <f>B5</f>
        <v>0.5</v>
      </c>
      <c r="C6" s="2">
        <f>F5</f>
        <v>0.625</v>
      </c>
      <c r="D6" s="2">
        <f t="shared" si="0"/>
        <v>0.10653065971263342</v>
      </c>
      <c r="E6" s="2">
        <f t="shared" si="0"/>
        <v>-8.9738571481009721E-2</v>
      </c>
      <c r="F6" s="2">
        <f t="shared" si="3"/>
        <v>0.5625</v>
      </c>
      <c r="G6" s="2">
        <f t="shared" si="1"/>
        <v>7.2828247309230099E-3</v>
      </c>
      <c r="H6" s="12">
        <f t="shared" si="2"/>
        <v>0.81869975695731856</v>
      </c>
      <c r="I6" s="14">
        <f t="shared" si="4"/>
        <v>11.111111111111111</v>
      </c>
    </row>
    <row r="7" spans="1:9" ht="25.5" x14ac:dyDescent="0.75">
      <c r="A7" s="7">
        <v>5</v>
      </c>
      <c r="B7" s="2">
        <f>F6</f>
        <v>0.5625</v>
      </c>
      <c r="C7" s="2">
        <f>C6</f>
        <v>0.625</v>
      </c>
      <c r="D7" s="2">
        <f t="shared" si="0"/>
        <v>7.2828247309230099E-3</v>
      </c>
      <c r="E7" s="2">
        <f t="shared" si="0"/>
        <v>-8.9738571481009721E-2</v>
      </c>
      <c r="F7" s="2">
        <f t="shared" si="3"/>
        <v>0.59375</v>
      </c>
      <c r="G7" s="2">
        <f t="shared" si="1"/>
        <v>-4.1497549836979619E-2</v>
      </c>
      <c r="H7" s="12">
        <f t="shared" si="2"/>
        <v>4.691372478767275</v>
      </c>
      <c r="I7" s="14">
        <f t="shared" si="4"/>
        <v>5.2631578947368416</v>
      </c>
    </row>
    <row r="8" spans="1:9" ht="25.5" x14ac:dyDescent="0.75">
      <c r="A8" s="7">
        <v>6</v>
      </c>
      <c r="B8" s="2">
        <f>B7</f>
        <v>0.5625</v>
      </c>
      <c r="C8" s="2">
        <f>F7</f>
        <v>0.59375</v>
      </c>
      <c r="D8" s="2">
        <f t="shared" si="0"/>
        <v>7.2828247309230099E-3</v>
      </c>
      <c r="E8" s="2">
        <f t="shared" si="0"/>
        <v>-4.1497549836979619E-2</v>
      </c>
      <c r="F8" s="2">
        <f t="shared" si="3"/>
        <v>0.578125</v>
      </c>
      <c r="G8" s="2">
        <f t="shared" si="1"/>
        <v>-1.7175839185529229E-2</v>
      </c>
      <c r="H8" s="12">
        <f t="shared" si="2"/>
        <v>1.9363363609049782</v>
      </c>
      <c r="I8" s="14">
        <f t="shared" si="4"/>
        <v>2.7027027027027026</v>
      </c>
    </row>
    <row r="9" spans="1:9" ht="25.9" thickBot="1" x14ac:dyDescent="0.8">
      <c r="A9" s="8">
        <v>7</v>
      </c>
      <c r="B9" s="4">
        <f>B8</f>
        <v>0.5625</v>
      </c>
      <c r="C9" s="4">
        <f>F8</f>
        <v>0.578125</v>
      </c>
      <c r="D9" s="4">
        <f t="shared" si="0"/>
        <v>7.2828247309230099E-3</v>
      </c>
      <c r="E9" s="4">
        <f t="shared" si="0"/>
        <v>-1.7175839185529229E-2</v>
      </c>
      <c r="F9" s="4">
        <f t="shared" si="3"/>
        <v>0.5703125</v>
      </c>
      <c r="G9" s="4">
        <f t="shared" si="1"/>
        <v>-4.9637603893858406E-3</v>
      </c>
      <c r="H9" s="12">
        <f t="shared" si="2"/>
        <v>0.55881830197382987</v>
      </c>
      <c r="I9" s="14">
        <f t="shared" si="4"/>
        <v>1.3698630136986301</v>
      </c>
    </row>
    <row r="10" spans="1:9" ht="25.5" hidden="1" x14ac:dyDescent="0.75"/>
    <row r="11" spans="1:9" ht="25.5" hidden="1" x14ac:dyDescent="0.75"/>
    <row r="12" spans="1:9" ht="25.5" hidden="1" x14ac:dyDescent="0.75"/>
    <row r="13" spans="1:9" ht="25.5" hidden="1" x14ac:dyDescent="0.75"/>
    <row r="14" spans="1:9" ht="25.5" hidden="1" x14ac:dyDescent="0.75"/>
    <row r="15" spans="1:9" ht="25.5" hidden="1" x14ac:dyDescent="0.75"/>
    <row r="16" spans="1:9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  <row r="30" ht="25.5" hidden="1" x14ac:dyDescent="0.75"/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D504-3BD2-4EBD-83A5-67A6BE046BDC}">
  <dimension ref="A1:AF30"/>
  <sheetViews>
    <sheetView zoomScale="85" zoomScaleNormal="85" workbookViewId="0">
      <selection activeCell="B3" sqref="B3:I9"/>
    </sheetView>
  </sheetViews>
  <sheetFormatPr defaultColWidth="0" defaultRowHeight="26.25" customHeight="1" zeroHeight="1" x14ac:dyDescent="0.75"/>
  <cols>
    <col min="1" max="1" width="6" style="1" customWidth="1"/>
    <col min="2" max="4" width="16.53125" style="1" bestFit="1" customWidth="1"/>
    <col min="5" max="5" width="18.1328125" style="1" bestFit="1" customWidth="1"/>
    <col min="6" max="6" width="16.53125" style="1" bestFit="1" customWidth="1"/>
    <col min="7" max="7" width="18.1328125" style="1" bestFit="1" customWidth="1"/>
    <col min="8" max="8" width="14.33203125" style="1" bestFit="1" customWidth="1"/>
    <col min="9" max="9" width="14" style="1" customWidth="1"/>
    <col min="10" max="32" width="0" style="1" hidden="1" customWidth="1"/>
    <col min="33" max="16384" width="9.1328125" style="1" hidden="1"/>
  </cols>
  <sheetData>
    <row r="1" spans="1:9" ht="84.75" customHeight="1" thickBot="1" x14ac:dyDescent="0.8">
      <c r="A1" s="35" t="s">
        <v>9</v>
      </c>
      <c r="B1" s="38"/>
      <c r="C1" s="38"/>
      <c r="D1" s="38"/>
      <c r="E1" s="38"/>
      <c r="F1" s="38"/>
      <c r="G1" s="38"/>
      <c r="H1" s="38"/>
      <c r="I1" s="39"/>
    </row>
    <row r="2" spans="1:9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4</v>
      </c>
      <c r="H2" s="9" t="s">
        <v>7</v>
      </c>
      <c r="I2" s="10" t="s">
        <v>8</v>
      </c>
    </row>
    <row r="3" spans="1:9" ht="25.5" x14ac:dyDescent="0.75">
      <c r="A3" s="7">
        <v>1</v>
      </c>
      <c r="B3" s="2"/>
      <c r="C3" s="2"/>
      <c r="D3" s="2"/>
      <c r="E3" s="2"/>
      <c r="F3" s="2"/>
      <c r="G3" s="2"/>
      <c r="H3" s="12"/>
      <c r="I3" s="13"/>
    </row>
    <row r="4" spans="1:9" ht="25.5" x14ac:dyDescent="0.75">
      <c r="A4" s="7">
        <v>2</v>
      </c>
      <c r="B4" s="2"/>
      <c r="C4" s="2"/>
      <c r="D4" s="2"/>
      <c r="E4" s="2"/>
      <c r="F4" s="2"/>
      <c r="G4" s="2"/>
      <c r="H4" s="12"/>
      <c r="I4" s="14"/>
    </row>
    <row r="5" spans="1:9" ht="25.5" x14ac:dyDescent="0.75">
      <c r="A5" s="7">
        <v>3</v>
      </c>
      <c r="B5" s="2"/>
      <c r="C5" s="2"/>
      <c r="D5" s="2"/>
      <c r="E5" s="2"/>
      <c r="F5" s="2"/>
      <c r="G5" s="2"/>
      <c r="H5" s="12"/>
      <c r="I5" s="14"/>
    </row>
    <row r="6" spans="1:9" ht="25.5" x14ac:dyDescent="0.75">
      <c r="A6" s="7">
        <v>4</v>
      </c>
      <c r="B6" s="2"/>
      <c r="C6" s="2"/>
      <c r="D6" s="2"/>
      <c r="E6" s="2"/>
      <c r="F6" s="2"/>
      <c r="G6" s="2"/>
      <c r="H6" s="12"/>
      <c r="I6" s="14"/>
    </row>
    <row r="7" spans="1:9" ht="25.5" x14ac:dyDescent="0.75">
      <c r="A7" s="7">
        <v>5</v>
      </c>
      <c r="B7" s="2"/>
      <c r="C7" s="2"/>
      <c r="D7" s="2"/>
      <c r="E7" s="2"/>
      <c r="F7" s="2"/>
      <c r="G7" s="2"/>
      <c r="H7" s="12"/>
      <c r="I7" s="14"/>
    </row>
    <row r="8" spans="1:9" ht="25.5" x14ac:dyDescent="0.75">
      <c r="A8" s="7">
        <v>6</v>
      </c>
      <c r="B8" s="2"/>
      <c r="C8" s="2"/>
      <c r="D8" s="2"/>
      <c r="E8" s="2"/>
      <c r="F8" s="2"/>
      <c r="G8" s="2"/>
      <c r="H8" s="12"/>
      <c r="I8" s="14"/>
    </row>
    <row r="9" spans="1:9" ht="25.9" thickBot="1" x14ac:dyDescent="0.8">
      <c r="A9" s="8">
        <v>7</v>
      </c>
      <c r="B9" s="4"/>
      <c r="C9" s="4"/>
      <c r="D9" s="4"/>
      <c r="E9" s="4"/>
      <c r="F9" s="4"/>
      <c r="G9" s="4"/>
      <c r="H9" s="15"/>
      <c r="I9" s="16"/>
    </row>
    <row r="10" spans="1:9" ht="25.5" hidden="1" x14ac:dyDescent="0.75"/>
    <row r="11" spans="1:9" ht="25.5" hidden="1" x14ac:dyDescent="0.75"/>
    <row r="12" spans="1:9" ht="25.5" hidden="1" x14ac:dyDescent="0.75"/>
    <row r="13" spans="1:9" ht="25.5" hidden="1" x14ac:dyDescent="0.75"/>
    <row r="14" spans="1:9" ht="25.5" hidden="1" x14ac:dyDescent="0.75"/>
    <row r="15" spans="1:9" ht="25.5" hidden="1" x14ac:dyDescent="0.75"/>
    <row r="16" spans="1:9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  <row r="30" ht="25.5" hidden="1" x14ac:dyDescent="0.75"/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3" sqref="E23"/>
    </sheetView>
  </sheetViews>
  <sheetFormatPr defaultRowHeight="14.25" x14ac:dyDescent="0.4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5"/>
  <sheetViews>
    <sheetView zoomScale="130" zoomScaleNormal="130" workbookViewId="0">
      <selection activeCell="F14" sqref="F14"/>
    </sheetView>
  </sheetViews>
  <sheetFormatPr defaultColWidth="0" defaultRowHeight="0" customHeight="1" zeroHeight="1" x14ac:dyDescent="0.75"/>
  <cols>
    <col min="1" max="1" width="6" style="1" customWidth="1"/>
    <col min="2" max="3" width="16.53125" style="1" bestFit="1" customWidth="1"/>
    <col min="4" max="4" width="18" style="1" bestFit="1" customWidth="1"/>
    <col min="5" max="5" width="18.1328125" style="1" bestFit="1" customWidth="1"/>
    <col min="6" max="6" width="16.53125" style="1" bestFit="1" customWidth="1"/>
    <col min="7" max="7" width="16.53125" style="1" customWidth="1"/>
    <col min="8" max="8" width="18.86328125" style="1" bestFit="1" customWidth="1"/>
    <col min="9" max="33" width="0" style="1" hidden="1" customWidth="1"/>
    <col min="34" max="16384" width="9.1328125" style="1" hidden="1"/>
  </cols>
  <sheetData>
    <row r="1" spans="1:8" ht="84.75" customHeight="1" thickBot="1" x14ac:dyDescent="0.8">
      <c r="A1" s="40" t="s">
        <v>11</v>
      </c>
      <c r="B1" s="41"/>
      <c r="C1" s="41"/>
      <c r="D1" s="41"/>
      <c r="E1" s="41"/>
      <c r="F1" s="41"/>
      <c r="G1" s="41"/>
      <c r="H1" s="41"/>
    </row>
    <row r="2" spans="1:8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4</v>
      </c>
      <c r="H2" s="10" t="s">
        <v>10</v>
      </c>
    </row>
    <row r="3" spans="1:8" ht="25.5" x14ac:dyDescent="0.75">
      <c r="A3" s="7">
        <v>1</v>
      </c>
      <c r="B3" s="2">
        <v>-5</v>
      </c>
      <c r="C3" s="2">
        <v>2</v>
      </c>
      <c r="D3" s="2">
        <f t="shared" ref="D3:E8" si="0">B3*B3*B3+5*B3*B3-10</f>
        <v>-10</v>
      </c>
      <c r="E3" s="2">
        <f t="shared" si="0"/>
        <v>18</v>
      </c>
      <c r="F3" s="2">
        <f t="shared" ref="F3:F8" si="1">(C3+B3)/2</f>
        <v>-1.5</v>
      </c>
      <c r="G3" s="2">
        <f t="shared" ref="G3:G8" si="2">F3*F3*F3+5*F3*F3-10</f>
        <v>-2.125</v>
      </c>
      <c r="H3" s="32"/>
    </row>
    <row r="4" spans="1:8" ht="25.5" x14ac:dyDescent="0.75">
      <c r="A4" s="7">
        <v>2</v>
      </c>
      <c r="B4" s="2">
        <f>F3</f>
        <v>-1.5</v>
      </c>
      <c r="C4" s="2">
        <f>C3</f>
        <v>2</v>
      </c>
      <c r="D4" s="2">
        <f t="shared" si="0"/>
        <v>-2.125</v>
      </c>
      <c r="E4" s="2">
        <f t="shared" si="0"/>
        <v>18</v>
      </c>
      <c r="F4" s="2">
        <f t="shared" si="1"/>
        <v>0.25</v>
      </c>
      <c r="G4" s="2">
        <f t="shared" si="2"/>
        <v>-9.671875</v>
      </c>
      <c r="H4" s="3">
        <f t="shared" ref="H4:H8" si="3">100*ABS((F4-F3)/F4)</f>
        <v>700</v>
      </c>
    </row>
    <row r="5" spans="1:8" ht="25.5" x14ac:dyDescent="0.75">
      <c r="A5" s="7">
        <v>3</v>
      </c>
      <c r="B5" s="2">
        <f>F4</f>
        <v>0.25</v>
      </c>
      <c r="C5" s="2">
        <f>C4</f>
        <v>2</v>
      </c>
      <c r="D5" s="2">
        <f t="shared" si="0"/>
        <v>-9.671875</v>
      </c>
      <c r="E5" s="2">
        <f t="shared" si="0"/>
        <v>18</v>
      </c>
      <c r="F5" s="2">
        <f t="shared" si="1"/>
        <v>1.125</v>
      </c>
      <c r="G5" s="2">
        <f t="shared" si="2"/>
        <v>-2.248046875</v>
      </c>
      <c r="H5" s="3">
        <f t="shared" si="3"/>
        <v>77.777777777777786</v>
      </c>
    </row>
    <row r="6" spans="1:8" ht="25.5" x14ac:dyDescent="0.75">
      <c r="A6" s="7">
        <v>4</v>
      </c>
      <c r="B6" s="2">
        <f>F5</f>
        <v>1.125</v>
      </c>
      <c r="C6" s="2">
        <f>C5</f>
        <v>2</v>
      </c>
      <c r="D6" s="2">
        <f t="shared" si="0"/>
        <v>-2.248046875</v>
      </c>
      <c r="E6" s="2">
        <f t="shared" si="0"/>
        <v>18</v>
      </c>
      <c r="F6" s="2">
        <f t="shared" si="1"/>
        <v>1.5625</v>
      </c>
      <c r="G6" s="2">
        <f t="shared" si="2"/>
        <v>6.021728515625</v>
      </c>
      <c r="H6" s="3">
        <f t="shared" si="3"/>
        <v>28.000000000000004</v>
      </c>
    </row>
    <row r="7" spans="1:8" ht="25.5" x14ac:dyDescent="0.75">
      <c r="A7" s="7">
        <v>5</v>
      </c>
      <c r="B7" s="2">
        <f>B6</f>
        <v>1.125</v>
      </c>
      <c r="C7" s="2">
        <f>F6</f>
        <v>1.5625</v>
      </c>
      <c r="D7" s="2">
        <f t="shared" si="0"/>
        <v>-2.248046875</v>
      </c>
      <c r="E7" s="2">
        <f t="shared" si="0"/>
        <v>6.021728515625</v>
      </c>
      <c r="F7" s="2">
        <f t="shared" si="1"/>
        <v>1.34375</v>
      </c>
      <c r="G7" s="2">
        <f t="shared" si="2"/>
        <v>1.454681396484375</v>
      </c>
      <c r="H7" s="3">
        <f t="shared" si="3"/>
        <v>16.279069767441861</v>
      </c>
    </row>
    <row r="8" spans="1:8" ht="25.5" x14ac:dyDescent="0.75">
      <c r="A8" s="7">
        <v>6</v>
      </c>
      <c r="B8" s="2">
        <f>B7</f>
        <v>1.125</v>
      </c>
      <c r="C8" s="2">
        <f>F7</f>
        <v>1.34375</v>
      </c>
      <c r="D8" s="2">
        <f t="shared" si="0"/>
        <v>-2.248046875</v>
      </c>
      <c r="E8" s="2">
        <f t="shared" si="0"/>
        <v>1.454681396484375</v>
      </c>
      <c r="F8" s="2">
        <f t="shared" si="1"/>
        <v>1.234375</v>
      </c>
      <c r="G8" s="2">
        <f t="shared" si="2"/>
        <v>-0.50079727172851563</v>
      </c>
      <c r="H8" s="3">
        <f t="shared" si="3"/>
        <v>8.8607594936708853</v>
      </c>
    </row>
    <row r="9" spans="1:8" ht="25.5" x14ac:dyDescent="0.75">
      <c r="A9" s="7">
        <v>7</v>
      </c>
      <c r="B9" s="2">
        <f>F8</f>
        <v>1.234375</v>
      </c>
      <c r="C9" s="2">
        <f>C8</f>
        <v>1.34375</v>
      </c>
      <c r="D9" s="2">
        <f t="shared" ref="D9:E14" si="4">B9*B9*B9+5*B9*B9-10</f>
        <v>-0.50079727172851563</v>
      </c>
      <c r="E9" s="2">
        <f t="shared" si="4"/>
        <v>1.454681396484375</v>
      </c>
      <c r="F9" s="2">
        <f t="shared" ref="F9:F14" si="5">(C9+B9)/2</f>
        <v>1.2890625</v>
      </c>
      <c r="G9" s="2">
        <f t="shared" ref="G9:G14" si="6">F9*F9*F9+5*F9*F9-10</f>
        <v>0.45042276382446289</v>
      </c>
      <c r="H9" s="3">
        <f>100*ABS((F9-F8)/F9)</f>
        <v>4.2424242424242431</v>
      </c>
    </row>
    <row r="10" spans="1:8" ht="25.5" x14ac:dyDescent="0.75">
      <c r="A10" s="7">
        <v>8</v>
      </c>
      <c r="B10" s="2">
        <f>B9</f>
        <v>1.234375</v>
      </c>
      <c r="C10" s="2">
        <f>F9</f>
        <v>1.2890625</v>
      </c>
      <c r="D10" s="2">
        <f t="shared" si="4"/>
        <v>-0.50079727172851563</v>
      </c>
      <c r="E10" s="2">
        <f t="shared" si="4"/>
        <v>0.45042276382446289</v>
      </c>
      <c r="F10" s="2">
        <f t="shared" si="5"/>
        <v>1.26171875</v>
      </c>
      <c r="G10" s="2">
        <f t="shared" si="6"/>
        <v>-3.1755745410919189E-2</v>
      </c>
      <c r="H10" s="3">
        <f>100*ABS((F10-F9)/F10)</f>
        <v>2.1671826625386998</v>
      </c>
    </row>
    <row r="11" spans="1:8" ht="25.5" x14ac:dyDescent="0.75">
      <c r="A11" s="7">
        <v>9</v>
      </c>
      <c r="B11" s="2">
        <f>F10</f>
        <v>1.26171875</v>
      </c>
      <c r="C11" s="2">
        <f>C10</f>
        <v>1.2890625</v>
      </c>
      <c r="D11" s="2">
        <f t="shared" si="4"/>
        <v>-3.1755745410919189E-2</v>
      </c>
      <c r="E11" s="2">
        <f t="shared" si="4"/>
        <v>0.45042276382446289</v>
      </c>
      <c r="F11" s="2">
        <f t="shared" si="5"/>
        <v>1.275390625</v>
      </c>
      <c r="G11" s="2">
        <f t="shared" si="6"/>
        <v>0.20768371969461441</v>
      </c>
      <c r="H11" s="3">
        <f>100*ABS((F11-F10)/F11)</f>
        <v>1.0719754977029097</v>
      </c>
    </row>
    <row r="12" spans="1:8" ht="25.5" x14ac:dyDescent="0.75">
      <c r="A12" s="7">
        <v>10</v>
      </c>
      <c r="B12" s="2">
        <f>B9</f>
        <v>1.234375</v>
      </c>
      <c r="C12" s="2">
        <f>F9</f>
        <v>1.2890625</v>
      </c>
      <c r="D12" s="2">
        <f t="shared" si="4"/>
        <v>-0.50079727172851563</v>
      </c>
      <c r="E12" s="2">
        <f t="shared" si="4"/>
        <v>0.45042276382446289</v>
      </c>
      <c r="F12" s="2">
        <f t="shared" si="5"/>
        <v>1.26171875</v>
      </c>
      <c r="G12" s="2">
        <f t="shared" si="6"/>
        <v>-3.1755745410919189E-2</v>
      </c>
      <c r="H12" s="3">
        <f>100*ABS((F12-F9)/F12)</f>
        <v>2.1671826625386998</v>
      </c>
    </row>
    <row r="13" spans="1:8" ht="25.5" x14ac:dyDescent="0.75">
      <c r="A13" s="7">
        <v>11</v>
      </c>
      <c r="B13" s="2">
        <f>F12</f>
        <v>1.26171875</v>
      </c>
      <c r="C13" s="2">
        <f>C12</f>
        <v>1.2890625</v>
      </c>
      <c r="D13" s="2">
        <f t="shared" si="4"/>
        <v>-3.1755745410919189E-2</v>
      </c>
      <c r="E13" s="2">
        <f t="shared" si="4"/>
        <v>0.45042276382446289</v>
      </c>
      <c r="F13" s="2">
        <f t="shared" si="5"/>
        <v>1.275390625</v>
      </c>
      <c r="G13" s="2">
        <f t="shared" si="6"/>
        <v>0.20768371969461441</v>
      </c>
      <c r="H13" s="3">
        <f>100*ABS((F13-F10)/F13)</f>
        <v>1.0719754977029097</v>
      </c>
    </row>
    <row r="14" spans="1:8" ht="25.9" thickBot="1" x14ac:dyDescent="0.8">
      <c r="A14" s="8">
        <v>12</v>
      </c>
      <c r="B14" s="4">
        <f>B13</f>
        <v>1.26171875</v>
      </c>
      <c r="C14" s="4">
        <f>F13</f>
        <v>1.275390625</v>
      </c>
      <c r="D14" s="4">
        <f t="shared" si="4"/>
        <v>-3.1755745410919189E-2</v>
      </c>
      <c r="E14" s="4">
        <f t="shared" si="4"/>
        <v>0.20768371969461441</v>
      </c>
      <c r="F14" s="4">
        <f t="shared" si="5"/>
        <v>1.2685546875</v>
      </c>
      <c r="G14" s="4">
        <f t="shared" si="6"/>
        <v>8.755249809473753E-2</v>
      </c>
      <c r="H14" s="5">
        <f>100*ABS((F14-F11)/F14)</f>
        <v>0.53887605850654352</v>
      </c>
    </row>
    <row r="15" spans="1:8" ht="25.5" hidden="1" x14ac:dyDescent="0.75"/>
    <row r="16" spans="1:8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  <row r="30" ht="25.5" hidden="1" x14ac:dyDescent="0.75"/>
    <row r="31" ht="25.5" hidden="1" x14ac:dyDescent="0.75"/>
    <row r="32" ht="25.5" hidden="1" x14ac:dyDescent="0.75"/>
    <row r="33" ht="25.5" hidden="1" x14ac:dyDescent="0.75"/>
    <row r="34" ht="25.5" hidden="1" x14ac:dyDescent="0.75"/>
    <row r="35" ht="25.5" hidden="1" x14ac:dyDescent="0.75"/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62B7-4F29-4896-A7B1-8D8C6B6F6F9E}">
  <dimension ref="A1:AG35"/>
  <sheetViews>
    <sheetView workbookViewId="0">
      <selection activeCell="B3" sqref="B3:H14"/>
    </sheetView>
  </sheetViews>
  <sheetFormatPr defaultColWidth="0" defaultRowHeight="0" customHeight="1" zeroHeight="1" x14ac:dyDescent="0.75"/>
  <cols>
    <col min="1" max="1" width="6" style="1" customWidth="1"/>
    <col min="2" max="3" width="16.53125" style="1" bestFit="1" customWidth="1"/>
    <col min="4" max="4" width="18" style="1" bestFit="1" customWidth="1"/>
    <col min="5" max="5" width="18.1328125" style="1" bestFit="1" customWidth="1"/>
    <col min="6" max="6" width="16.53125" style="1" bestFit="1" customWidth="1"/>
    <col min="7" max="7" width="16.53125" style="1" customWidth="1"/>
    <col min="8" max="8" width="18.86328125" style="1" bestFit="1" customWidth="1"/>
    <col min="9" max="33" width="0" style="1" hidden="1" customWidth="1"/>
    <col min="34" max="16384" width="9.1328125" style="1" hidden="1"/>
  </cols>
  <sheetData>
    <row r="1" spans="1:8" ht="84.75" customHeight="1" thickBot="1" x14ac:dyDescent="0.8">
      <c r="A1" s="40" t="s">
        <v>11</v>
      </c>
      <c r="B1" s="41"/>
      <c r="C1" s="41"/>
      <c r="D1" s="41"/>
      <c r="E1" s="41"/>
      <c r="F1" s="41"/>
      <c r="G1" s="41"/>
      <c r="H1" s="41"/>
    </row>
    <row r="2" spans="1:8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4</v>
      </c>
      <c r="H2" s="10" t="s">
        <v>10</v>
      </c>
    </row>
    <row r="3" spans="1:8" ht="25.5" x14ac:dyDescent="0.75">
      <c r="A3" s="7">
        <v>1</v>
      </c>
      <c r="B3" s="2"/>
      <c r="C3" s="2"/>
      <c r="D3" s="2"/>
      <c r="E3" s="2"/>
      <c r="F3" s="2"/>
      <c r="G3" s="2"/>
      <c r="H3" s="32"/>
    </row>
    <row r="4" spans="1:8" ht="25.5" x14ac:dyDescent="0.75">
      <c r="A4" s="7">
        <v>2</v>
      </c>
      <c r="B4" s="2"/>
      <c r="C4" s="2"/>
      <c r="D4" s="2"/>
      <c r="E4" s="2"/>
      <c r="F4" s="2"/>
      <c r="G4" s="2"/>
      <c r="H4" s="3"/>
    </row>
    <row r="5" spans="1:8" ht="25.5" x14ac:dyDescent="0.75">
      <c r="A5" s="7">
        <v>3</v>
      </c>
      <c r="B5" s="2"/>
      <c r="C5" s="2"/>
      <c r="D5" s="2"/>
      <c r="E5" s="2"/>
      <c r="F5" s="2"/>
      <c r="G5" s="2"/>
      <c r="H5" s="3"/>
    </row>
    <row r="6" spans="1:8" ht="25.5" x14ac:dyDescent="0.75">
      <c r="A6" s="7">
        <v>4</v>
      </c>
      <c r="B6" s="2"/>
      <c r="C6" s="2"/>
      <c r="D6" s="2"/>
      <c r="E6" s="2"/>
      <c r="F6" s="2"/>
      <c r="G6" s="2"/>
      <c r="H6" s="3"/>
    </row>
    <row r="7" spans="1:8" ht="25.5" x14ac:dyDescent="0.75">
      <c r="A7" s="7">
        <v>5</v>
      </c>
      <c r="B7" s="2"/>
      <c r="C7" s="2"/>
      <c r="D7" s="2"/>
      <c r="E7" s="2"/>
      <c r="F7" s="2"/>
      <c r="G7" s="2"/>
      <c r="H7" s="3"/>
    </row>
    <row r="8" spans="1:8" ht="25.5" x14ac:dyDescent="0.75">
      <c r="A8" s="7">
        <v>6</v>
      </c>
      <c r="B8" s="2"/>
      <c r="C8" s="2"/>
      <c r="D8" s="2"/>
      <c r="E8" s="2"/>
      <c r="F8" s="2"/>
      <c r="G8" s="2"/>
      <c r="H8" s="3"/>
    </row>
    <row r="9" spans="1:8" ht="25.5" x14ac:dyDescent="0.75">
      <c r="A9" s="7">
        <v>7</v>
      </c>
      <c r="B9" s="2"/>
      <c r="C9" s="2"/>
      <c r="D9" s="2"/>
      <c r="E9" s="2"/>
      <c r="F9" s="2"/>
      <c r="G9" s="2"/>
      <c r="H9" s="3"/>
    </row>
    <row r="10" spans="1:8" ht="25.5" x14ac:dyDescent="0.75">
      <c r="A10" s="7">
        <v>8</v>
      </c>
      <c r="B10" s="2"/>
      <c r="C10" s="2"/>
      <c r="D10" s="2"/>
      <c r="E10" s="2"/>
      <c r="F10" s="2"/>
      <c r="G10" s="2"/>
      <c r="H10" s="3"/>
    </row>
    <row r="11" spans="1:8" ht="25.5" x14ac:dyDescent="0.75">
      <c r="A11" s="7">
        <v>9</v>
      </c>
      <c r="B11" s="2"/>
      <c r="C11" s="2"/>
      <c r="D11" s="2"/>
      <c r="E11" s="2"/>
      <c r="F11" s="2"/>
      <c r="G11" s="2"/>
      <c r="H11" s="3"/>
    </row>
    <row r="12" spans="1:8" ht="25.5" x14ac:dyDescent="0.75">
      <c r="A12" s="7">
        <v>10</v>
      </c>
      <c r="B12" s="2"/>
      <c r="C12" s="2"/>
      <c r="D12" s="2"/>
      <c r="E12" s="2"/>
      <c r="F12" s="2"/>
      <c r="G12" s="2"/>
      <c r="H12" s="3"/>
    </row>
    <row r="13" spans="1:8" ht="25.5" x14ac:dyDescent="0.75">
      <c r="A13" s="7">
        <v>11</v>
      </c>
      <c r="B13" s="2"/>
      <c r="C13" s="2"/>
      <c r="D13" s="2"/>
      <c r="E13" s="2"/>
      <c r="F13" s="2"/>
      <c r="G13" s="2"/>
      <c r="H13" s="3"/>
    </row>
    <row r="14" spans="1:8" ht="25.9" thickBot="1" x14ac:dyDescent="0.8">
      <c r="A14" s="8">
        <v>12</v>
      </c>
      <c r="B14" s="4"/>
      <c r="C14" s="4"/>
      <c r="D14" s="4"/>
      <c r="E14" s="4"/>
      <c r="F14" s="4"/>
      <c r="G14" s="4"/>
      <c r="H14" s="5"/>
    </row>
    <row r="15" spans="1:8" ht="25.5" hidden="1" x14ac:dyDescent="0.75"/>
    <row r="16" spans="1:8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  <row r="30" ht="25.5" hidden="1" x14ac:dyDescent="0.75"/>
    <row r="31" ht="25.5" hidden="1" x14ac:dyDescent="0.75"/>
    <row r="32" ht="25.5" hidden="1" x14ac:dyDescent="0.75"/>
    <row r="33" ht="25.5" hidden="1" x14ac:dyDescent="0.75"/>
    <row r="34" ht="25.5" hidden="1" x14ac:dyDescent="0.75"/>
    <row r="35" ht="25.5" hidden="1" x14ac:dyDescent="0.75"/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4"/>
  <sheetViews>
    <sheetView zoomScaleNormal="100" workbookViewId="0">
      <selection activeCell="A11" sqref="A11:XFD11"/>
    </sheetView>
  </sheetViews>
  <sheetFormatPr defaultColWidth="0" defaultRowHeight="25.5" zeroHeight="1" x14ac:dyDescent="0.75"/>
  <cols>
    <col min="1" max="1" width="6" style="1" customWidth="1"/>
    <col min="2" max="3" width="16.53125" style="1" bestFit="1" customWidth="1"/>
    <col min="4" max="4" width="18" style="1" bestFit="1" customWidth="1"/>
    <col min="5" max="5" width="18.1328125" style="1" bestFit="1" customWidth="1"/>
    <col min="6" max="6" width="16.53125" style="1" bestFit="1" customWidth="1"/>
    <col min="7" max="7" width="16.53125" style="1" customWidth="1"/>
    <col min="8" max="8" width="18.86328125" style="1" bestFit="1" customWidth="1"/>
    <col min="9" max="33" width="0" style="1" hidden="1" customWidth="1"/>
    <col min="34" max="16384" width="9.1328125" style="1" hidden="1"/>
  </cols>
  <sheetData>
    <row r="1" spans="1:8" ht="84.75" customHeight="1" thickBot="1" x14ac:dyDescent="0.8">
      <c r="A1" s="40" t="s">
        <v>34</v>
      </c>
      <c r="B1" s="41"/>
      <c r="C1" s="41"/>
      <c r="D1" s="41"/>
      <c r="E1" s="41"/>
      <c r="F1" s="41"/>
      <c r="G1" s="41"/>
      <c r="H1" s="41"/>
    </row>
    <row r="2" spans="1:8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4</v>
      </c>
      <c r="H2" s="10" t="s">
        <v>12</v>
      </c>
    </row>
    <row r="3" spans="1:8" x14ac:dyDescent="0.75">
      <c r="A3" s="7">
        <v>1</v>
      </c>
      <c r="B3" s="2">
        <v>1</v>
      </c>
      <c r="C3" s="2">
        <v>2</v>
      </c>
      <c r="D3" s="2">
        <f t="shared" ref="D3:D11" si="0">B3*B3*B3+5*B3*B3-10</f>
        <v>-4</v>
      </c>
      <c r="E3" s="2">
        <f t="shared" ref="E3:E11" si="1">C3*C3*C3+5*C3*C3-10</f>
        <v>18</v>
      </c>
      <c r="F3" s="2">
        <f t="shared" ref="F3:F11" si="2">(B3+C3)/2</f>
        <v>1.5</v>
      </c>
      <c r="G3" s="2">
        <f t="shared" ref="G3:G11" si="3">F3*F3*F3+5*F3*F3-10</f>
        <v>4.625</v>
      </c>
      <c r="H3" s="33">
        <f>ABS(F3-1.2635425)</f>
        <v>0.23645749999999999</v>
      </c>
    </row>
    <row r="4" spans="1:8" x14ac:dyDescent="0.75">
      <c r="A4" s="7">
        <v>2</v>
      </c>
      <c r="B4" s="2">
        <f>B3</f>
        <v>1</v>
      </c>
      <c r="C4" s="2">
        <f>F3</f>
        <v>1.5</v>
      </c>
      <c r="D4" s="2">
        <f t="shared" si="0"/>
        <v>-4</v>
      </c>
      <c r="E4" s="2">
        <f t="shared" si="1"/>
        <v>4.625</v>
      </c>
      <c r="F4" s="2">
        <f t="shared" si="2"/>
        <v>1.25</v>
      </c>
      <c r="G4" s="2">
        <f t="shared" si="3"/>
        <v>-0.234375</v>
      </c>
      <c r="H4" s="33">
        <f t="shared" ref="H4:H11" si="4">ABS(F4-1.2635425)</f>
        <v>1.3542500000000013E-2</v>
      </c>
    </row>
    <row r="5" spans="1:8" x14ac:dyDescent="0.75">
      <c r="A5" s="7">
        <v>3</v>
      </c>
      <c r="B5" s="2">
        <f>F4</f>
        <v>1.25</v>
      </c>
      <c r="C5" s="2">
        <f>C4</f>
        <v>1.5</v>
      </c>
      <c r="D5" s="2">
        <f t="shared" si="0"/>
        <v>-0.234375</v>
      </c>
      <c r="E5" s="2">
        <f t="shared" si="1"/>
        <v>4.625</v>
      </c>
      <c r="F5" s="2">
        <f t="shared" si="2"/>
        <v>1.375</v>
      </c>
      <c r="G5" s="2">
        <f t="shared" si="3"/>
        <v>2.052734375</v>
      </c>
      <c r="H5" s="33">
        <f t="shared" si="4"/>
        <v>0.11145749999999999</v>
      </c>
    </row>
    <row r="6" spans="1:8" x14ac:dyDescent="0.75">
      <c r="A6" s="7">
        <v>4</v>
      </c>
      <c r="B6" s="2">
        <f>B5</f>
        <v>1.25</v>
      </c>
      <c r="C6" s="2">
        <f>F5</f>
        <v>1.375</v>
      </c>
      <c r="D6" s="2">
        <f t="shared" si="0"/>
        <v>-0.234375</v>
      </c>
      <c r="E6" s="2">
        <f t="shared" si="1"/>
        <v>2.052734375</v>
      </c>
      <c r="F6" s="2">
        <f t="shared" si="2"/>
        <v>1.3125</v>
      </c>
      <c r="G6" s="2">
        <f t="shared" si="3"/>
        <v>0.874267578125</v>
      </c>
      <c r="H6" s="33">
        <f t="shared" si="4"/>
        <v>4.8957499999999987E-2</v>
      </c>
    </row>
    <row r="7" spans="1:8" x14ac:dyDescent="0.75">
      <c r="A7" s="7">
        <v>5</v>
      </c>
      <c r="B7" s="2">
        <f>B6</f>
        <v>1.25</v>
      </c>
      <c r="C7" s="2">
        <f>F6</f>
        <v>1.3125</v>
      </c>
      <c r="D7" s="2">
        <f t="shared" si="0"/>
        <v>-0.234375</v>
      </c>
      <c r="E7" s="2">
        <f t="shared" si="1"/>
        <v>0.874267578125</v>
      </c>
      <c r="F7" s="2">
        <f t="shared" si="2"/>
        <v>1.28125</v>
      </c>
      <c r="G7" s="2">
        <f t="shared" si="3"/>
        <v>0.311309814453125</v>
      </c>
      <c r="H7" s="33">
        <f t="shared" si="4"/>
        <v>1.7707499999999987E-2</v>
      </c>
    </row>
    <row r="8" spans="1:8" x14ac:dyDescent="0.75">
      <c r="A8" s="7">
        <v>6</v>
      </c>
      <c r="B8" s="2">
        <f>B7</f>
        <v>1.25</v>
      </c>
      <c r="C8" s="2">
        <f>F7</f>
        <v>1.28125</v>
      </c>
      <c r="D8" s="2">
        <f t="shared" si="0"/>
        <v>-0.234375</v>
      </c>
      <c r="E8" s="2">
        <f t="shared" si="1"/>
        <v>0.311309814453125</v>
      </c>
      <c r="F8" s="2">
        <f t="shared" si="2"/>
        <v>1.265625</v>
      </c>
      <c r="G8" s="2">
        <f t="shared" si="3"/>
        <v>3.6319732666015625E-2</v>
      </c>
      <c r="H8" s="33">
        <f t="shared" si="4"/>
        <v>2.0824999999999871E-3</v>
      </c>
    </row>
    <row r="9" spans="1:8" x14ac:dyDescent="0.75">
      <c r="A9" s="7">
        <v>7</v>
      </c>
      <c r="B9" s="2">
        <f>B8</f>
        <v>1.25</v>
      </c>
      <c r="C9" s="2">
        <f>F8</f>
        <v>1.265625</v>
      </c>
      <c r="D9" s="2">
        <f t="shared" si="0"/>
        <v>-0.234375</v>
      </c>
      <c r="E9" s="2">
        <f t="shared" si="1"/>
        <v>3.6319732666015625E-2</v>
      </c>
      <c r="F9" s="2">
        <f t="shared" si="2"/>
        <v>1.2578125</v>
      </c>
      <c r="G9" s="2">
        <f t="shared" si="3"/>
        <v>-9.9563121795654297E-2</v>
      </c>
      <c r="H9" s="33">
        <f t="shared" si="4"/>
        <v>5.7300000000000129E-3</v>
      </c>
    </row>
    <row r="10" spans="1:8" x14ac:dyDescent="0.75">
      <c r="A10" s="7">
        <v>8</v>
      </c>
      <c r="B10" s="2">
        <f>F9</f>
        <v>1.2578125</v>
      </c>
      <c r="C10" s="2">
        <f>C9</f>
        <v>1.265625</v>
      </c>
      <c r="D10" s="2">
        <f t="shared" si="0"/>
        <v>-9.9563121795654297E-2</v>
      </c>
      <c r="E10" s="2">
        <f t="shared" si="1"/>
        <v>3.6319732666015625E-2</v>
      </c>
      <c r="F10" s="2">
        <f t="shared" si="2"/>
        <v>1.26171875</v>
      </c>
      <c r="G10" s="2">
        <f t="shared" si="3"/>
        <v>-3.1755745410919189E-2</v>
      </c>
      <c r="H10" s="33">
        <f t="shared" si="4"/>
        <v>1.8237500000000129E-3</v>
      </c>
    </row>
    <row r="11" spans="1:8" x14ac:dyDescent="0.75">
      <c r="A11" s="7">
        <v>9</v>
      </c>
      <c r="B11" s="2">
        <f>F10</f>
        <v>1.26171875</v>
      </c>
      <c r="C11" s="2">
        <f>C10</f>
        <v>1.265625</v>
      </c>
      <c r="D11" s="2">
        <f t="shared" si="0"/>
        <v>-3.1755745410919189E-2</v>
      </c>
      <c r="E11" s="2">
        <f t="shared" si="1"/>
        <v>3.6319732666015625E-2</v>
      </c>
      <c r="F11" s="2">
        <f t="shared" si="2"/>
        <v>1.263671875</v>
      </c>
      <c r="G11" s="2">
        <f t="shared" si="3"/>
        <v>2.2484585642814636E-3</v>
      </c>
      <c r="H11" s="33">
        <f t="shared" si="4"/>
        <v>1.2937499999998714E-4</v>
      </c>
    </row>
    <row r="12" spans="1:8" x14ac:dyDescent="0.75">
      <c r="A12" s="7">
        <v>10</v>
      </c>
      <c r="B12" s="2">
        <f>B11</f>
        <v>1.26171875</v>
      </c>
      <c r="C12" s="2">
        <f>F11</f>
        <v>1.263671875</v>
      </c>
      <c r="D12" s="2">
        <f t="shared" ref="D12:E14" si="5">B12*B12*B12+5*B12*B12-10</f>
        <v>-3.1755745410919189E-2</v>
      </c>
      <c r="E12" s="2">
        <f t="shared" si="5"/>
        <v>2.2484585642814636E-3</v>
      </c>
      <c r="F12" s="2">
        <f>(B12+C12)/2</f>
        <v>1.2626953125</v>
      </c>
      <c r="G12" s="2">
        <f>F12*F12*F12+5*F12*F12-10</f>
        <v>-1.4762024395167828E-2</v>
      </c>
      <c r="H12" s="33">
        <f>ABS(F12-1.2635425)</f>
        <v>8.4718750000001286E-4</v>
      </c>
    </row>
    <row r="13" spans="1:8" x14ac:dyDescent="0.75">
      <c r="A13" s="7">
        <v>11</v>
      </c>
      <c r="B13" s="2">
        <f>F12</f>
        <v>1.2626953125</v>
      </c>
      <c r="C13" s="2">
        <f>C12</f>
        <v>1.263671875</v>
      </c>
      <c r="D13" s="2">
        <f t="shared" si="5"/>
        <v>-1.4762024395167828E-2</v>
      </c>
      <c r="E13" s="2">
        <f t="shared" si="5"/>
        <v>2.2484585642814636E-3</v>
      </c>
      <c r="F13" s="2">
        <f>(B13+C13)/2</f>
        <v>1.26318359375</v>
      </c>
      <c r="G13" s="2">
        <f>F13*F13*F13+5*F13*F13-10</f>
        <v>-6.2588785076513886E-3</v>
      </c>
      <c r="H13" s="33">
        <f>ABS(F13-1.2635425)</f>
        <v>3.5890625000001286E-4</v>
      </c>
    </row>
    <row r="14" spans="1:8" ht="25.9" thickBot="1" x14ac:dyDescent="0.8">
      <c r="A14" s="8">
        <v>12</v>
      </c>
      <c r="B14" s="4">
        <f>F13</f>
        <v>1.26318359375</v>
      </c>
      <c r="C14" s="4">
        <f>C13</f>
        <v>1.263671875</v>
      </c>
      <c r="D14" s="4">
        <f t="shared" si="5"/>
        <v>-6.2588785076513886E-3</v>
      </c>
      <c r="E14" s="4">
        <f t="shared" si="5"/>
        <v>2.2484585642814636E-3</v>
      </c>
      <c r="F14" s="4">
        <f>(B14+C14)/2</f>
        <v>1.263427734375</v>
      </c>
      <c r="G14" s="4">
        <f>F14*F14*F14+5*F14*F14-10</f>
        <v>-2.0057339133927599E-3</v>
      </c>
      <c r="H14" s="34">
        <f>ABS(F14-1.2635425)</f>
        <v>1.1476562500001286E-4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ignoredErrors>
    <ignoredError sqref="C5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8"/>
  <sheetViews>
    <sheetView zoomScale="145" zoomScaleNormal="145" workbookViewId="0">
      <selection activeCell="C4" sqref="C4"/>
    </sheetView>
  </sheetViews>
  <sheetFormatPr defaultColWidth="0" defaultRowHeight="0" customHeight="1" zeroHeight="1" x14ac:dyDescent="0.75"/>
  <cols>
    <col min="1" max="1" width="6" style="1" customWidth="1"/>
    <col min="2" max="4" width="16.53125" style="1" bestFit="1" customWidth="1"/>
    <col min="5" max="5" width="18.1328125" style="1" bestFit="1" customWidth="1"/>
    <col min="6" max="6" width="16.53125" style="1" bestFit="1" customWidth="1"/>
    <col min="7" max="7" width="20" style="1" bestFit="1" customWidth="1"/>
    <col min="8" max="8" width="19.86328125" style="1" bestFit="1" customWidth="1"/>
    <col min="9" max="32" width="0" style="1" hidden="1" customWidth="1"/>
    <col min="33" max="16384" width="9.1328125" style="1" hidden="1"/>
  </cols>
  <sheetData>
    <row r="1" spans="1:8" ht="84.75" customHeight="1" thickBot="1" x14ac:dyDescent="0.8">
      <c r="A1" s="35" t="s">
        <v>15</v>
      </c>
      <c r="B1" s="38"/>
      <c r="C1" s="38"/>
      <c r="D1" s="38"/>
      <c r="E1" s="38"/>
      <c r="F1" s="38"/>
      <c r="G1" s="38"/>
      <c r="H1" s="39"/>
    </row>
    <row r="2" spans="1:8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16</v>
      </c>
      <c r="H2" s="9" t="s">
        <v>17</v>
      </c>
    </row>
    <row r="3" spans="1:8" ht="25.5" x14ac:dyDescent="0.75">
      <c r="A3" s="7">
        <v>1</v>
      </c>
      <c r="B3" s="2">
        <v>0</v>
      </c>
      <c r="C3" s="2">
        <v>1</v>
      </c>
      <c r="D3" s="2">
        <f t="shared" ref="D3:E7" si="0">EXP(-B3)-B3</f>
        <v>1</v>
      </c>
      <c r="E3" s="2">
        <f t="shared" si="0"/>
        <v>-0.63212055882855767</v>
      </c>
      <c r="F3" s="2">
        <f>C3+(E3*(B3-C3)/(E3-D3))</f>
        <v>0.61269983678028206</v>
      </c>
      <c r="G3" s="12">
        <f xml:space="preserve"> 100*ABS(F3-0.5671432)/0.5671432</f>
        <v>8.0326515032327119</v>
      </c>
      <c r="H3" s="14">
        <v>11.838844228406504</v>
      </c>
    </row>
    <row r="4" spans="1:8" ht="25.5" x14ac:dyDescent="0.75">
      <c r="A4" s="7">
        <v>2</v>
      </c>
      <c r="B4" s="2">
        <f>B3</f>
        <v>0</v>
      </c>
      <c r="C4" s="2">
        <f>F3</f>
        <v>0.61269983678028206</v>
      </c>
      <c r="D4" s="2">
        <f t="shared" si="0"/>
        <v>1</v>
      </c>
      <c r="E4" s="2">
        <f t="shared" si="0"/>
        <v>-7.0813947873170968E-2</v>
      </c>
      <c r="F4" s="2">
        <f>C4+(E4*(B4-C4)/(E4-D4))</f>
        <v>0.57218141209050755</v>
      </c>
      <c r="G4" s="12">
        <f xml:space="preserve"> 100*ABS(F4-0.5671432)/0.5671432</f>
        <v>0.88834920184313027</v>
      </c>
      <c r="H4" s="14">
        <v>32.241733657390242</v>
      </c>
    </row>
    <row r="5" spans="1:8" ht="25.5" x14ac:dyDescent="0.75">
      <c r="A5" s="7">
        <v>3</v>
      </c>
      <c r="B5" s="2">
        <f>B4</f>
        <v>0</v>
      </c>
      <c r="C5" s="2">
        <f>F4</f>
        <v>0.57218141209050755</v>
      </c>
      <c r="D5" s="2">
        <f t="shared" si="0"/>
        <v>1</v>
      </c>
      <c r="E5" s="2">
        <f t="shared" si="0"/>
        <v>-7.8882728552998049E-3</v>
      </c>
      <c r="F5" s="2">
        <f>C5+(E5*(B5-C5)/(E5-D5))</f>
        <v>0.56770321423578496</v>
      </c>
      <c r="G5" s="12">
        <f xml:space="preserve"> 100*ABS(F5-0.5671432)/0.5671432</f>
        <v>9.8743004550702576E-2</v>
      </c>
      <c r="H5" s="14">
        <v>10.201444714491869</v>
      </c>
    </row>
    <row r="6" spans="1:8" ht="25.5" x14ac:dyDescent="0.75">
      <c r="A6" s="7">
        <v>4</v>
      </c>
      <c r="B6" s="2">
        <f>B5</f>
        <v>0</v>
      </c>
      <c r="C6" s="2">
        <f>F5</f>
        <v>0.56770321423578496</v>
      </c>
      <c r="D6" s="2">
        <f t="shared" si="0"/>
        <v>1</v>
      </c>
      <c r="E6" s="2">
        <f t="shared" si="0"/>
        <v>-8.7739197977232397E-4</v>
      </c>
      <c r="F6" s="2">
        <f>C6+(E6*(B6-C6)/(E6-D6))</f>
        <v>0.56720555263302241</v>
      </c>
      <c r="G6" s="12">
        <f xml:space="preserve"> 100*ABS(F6-0.5671432)/0.5671432</f>
        <v>1.0994160385323413E-2</v>
      </c>
      <c r="H6" s="14">
        <v>0.81869975695731856</v>
      </c>
    </row>
    <row r="7" spans="1:8" ht="25.5" x14ac:dyDescent="0.75">
      <c r="A7" s="7">
        <v>5</v>
      </c>
      <c r="B7" s="2">
        <f>B6</f>
        <v>0</v>
      </c>
      <c r="C7" s="2">
        <f>F6</f>
        <v>0.56720555263302241</v>
      </c>
      <c r="D7" s="2">
        <f t="shared" si="0"/>
        <v>1</v>
      </c>
      <c r="E7" s="2">
        <f t="shared" si="0"/>
        <v>-9.7572726127648224E-5</v>
      </c>
      <c r="F7" s="2">
        <f>C7+(E7*(B7-C7)/(E7-D7))</f>
        <v>0.56715021424049505</v>
      </c>
      <c r="G7" s="12">
        <f xml:space="preserve"> 100*ABS(F7-0.5671432)/0.5671432</f>
        <v>1.2367670978151006E-3</v>
      </c>
      <c r="H7" s="14">
        <v>4.691372478767275</v>
      </c>
    </row>
    <row r="8" spans="1:8" ht="25.5" hidden="1" x14ac:dyDescent="0.75"/>
    <row r="9" spans="1:8" ht="25.5" hidden="1" x14ac:dyDescent="0.75"/>
    <row r="10" spans="1:8" ht="25.5" hidden="1" x14ac:dyDescent="0.75"/>
    <row r="11" spans="1:8" ht="25.5" hidden="1" x14ac:dyDescent="0.75"/>
    <row r="12" spans="1:8" ht="25.5" hidden="1" x14ac:dyDescent="0.75"/>
    <row r="13" spans="1:8" ht="25.5" hidden="1" x14ac:dyDescent="0.75"/>
    <row r="14" spans="1:8" ht="25.5" hidden="1" x14ac:dyDescent="0.75"/>
    <row r="15" spans="1:8" ht="25.5" hidden="1" x14ac:dyDescent="0.75"/>
    <row r="16" spans="1:8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4C4B-62E8-46F3-9FEB-EF1697A445D8}">
  <dimension ref="A1:AF28"/>
  <sheetViews>
    <sheetView zoomScale="115" zoomScaleNormal="115" workbookViewId="0">
      <selection activeCell="B3" sqref="B3"/>
    </sheetView>
  </sheetViews>
  <sheetFormatPr defaultColWidth="0" defaultRowHeight="0" customHeight="1" zeroHeight="1" x14ac:dyDescent="0.75"/>
  <cols>
    <col min="1" max="1" width="6" style="1" customWidth="1"/>
    <col min="2" max="4" width="16.53125" style="1" bestFit="1" customWidth="1"/>
    <col min="5" max="5" width="18.1328125" style="1" bestFit="1" customWidth="1"/>
    <col min="6" max="6" width="16.53125" style="1" bestFit="1" customWidth="1"/>
    <col min="7" max="7" width="20" style="1" bestFit="1" customWidth="1"/>
    <col min="8" max="8" width="19.86328125" style="1" bestFit="1" customWidth="1"/>
    <col min="9" max="32" width="0" style="1" hidden="1" customWidth="1"/>
    <col min="33" max="16384" width="9.1328125" style="1" hidden="1"/>
  </cols>
  <sheetData>
    <row r="1" spans="1:8" ht="84.75" customHeight="1" thickBot="1" x14ac:dyDescent="0.8">
      <c r="A1" s="35" t="s">
        <v>15</v>
      </c>
      <c r="B1" s="38"/>
      <c r="C1" s="38"/>
      <c r="D1" s="38"/>
      <c r="E1" s="38"/>
      <c r="F1" s="38"/>
      <c r="G1" s="38"/>
      <c r="H1" s="39"/>
    </row>
    <row r="2" spans="1:8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16</v>
      </c>
      <c r="H2" s="9" t="s">
        <v>17</v>
      </c>
    </row>
    <row r="3" spans="1:8" ht="25.5" x14ac:dyDescent="0.75">
      <c r="A3" s="7">
        <v>1</v>
      </c>
      <c r="B3" s="2"/>
      <c r="C3" s="2"/>
      <c r="D3" s="2"/>
      <c r="E3" s="2"/>
      <c r="F3" s="2"/>
      <c r="G3" s="12">
        <f>100*ABS(F3-0.5671432)/0.5671432</f>
        <v>100</v>
      </c>
      <c r="H3" s="14">
        <v>11.838844228406504</v>
      </c>
    </row>
    <row r="4" spans="1:8" ht="25.5" x14ac:dyDescent="0.75">
      <c r="A4" s="7">
        <v>2</v>
      </c>
      <c r="B4" s="2"/>
      <c r="C4" s="2"/>
      <c r="D4" s="2"/>
      <c r="E4" s="2"/>
      <c r="F4" s="2"/>
      <c r="G4" s="12"/>
      <c r="H4" s="14">
        <v>32.241733657390242</v>
      </c>
    </row>
    <row r="5" spans="1:8" ht="25.5" x14ac:dyDescent="0.75">
      <c r="A5" s="7">
        <v>3</v>
      </c>
      <c r="B5" s="2"/>
      <c r="C5" s="2"/>
      <c r="D5" s="2"/>
      <c r="E5" s="2"/>
      <c r="F5" s="2"/>
      <c r="G5" s="12"/>
      <c r="H5" s="14">
        <v>10.201444714491869</v>
      </c>
    </row>
    <row r="6" spans="1:8" ht="25.5" x14ac:dyDescent="0.75">
      <c r="A6" s="7">
        <v>4</v>
      </c>
      <c r="B6" s="2"/>
      <c r="C6" s="2"/>
      <c r="D6" s="2"/>
      <c r="E6" s="2"/>
      <c r="F6" s="2"/>
      <c r="G6" s="12"/>
      <c r="H6" s="14">
        <v>0.81869975695731856</v>
      </c>
    </row>
    <row r="7" spans="1:8" ht="25.5" x14ac:dyDescent="0.75">
      <c r="A7" s="7">
        <v>5</v>
      </c>
      <c r="B7" s="2"/>
      <c r="C7" s="2"/>
      <c r="D7" s="2"/>
      <c r="E7" s="2"/>
      <c r="F7" s="2"/>
      <c r="G7" s="12"/>
      <c r="H7" s="14">
        <v>4.691372478767275</v>
      </c>
    </row>
    <row r="8" spans="1:8" ht="25.5" hidden="1" x14ac:dyDescent="0.75"/>
    <row r="9" spans="1:8" ht="25.5" hidden="1" x14ac:dyDescent="0.75"/>
    <row r="10" spans="1:8" ht="25.5" hidden="1" x14ac:dyDescent="0.75"/>
    <row r="11" spans="1:8" ht="25.5" hidden="1" x14ac:dyDescent="0.75"/>
    <row r="12" spans="1:8" ht="25.5" hidden="1" x14ac:dyDescent="0.75"/>
    <row r="13" spans="1:8" ht="25.5" hidden="1" x14ac:dyDescent="0.75"/>
    <row r="14" spans="1:8" ht="25.5" hidden="1" x14ac:dyDescent="0.75"/>
    <row r="15" spans="1:8" ht="25.5" hidden="1" x14ac:dyDescent="0.75"/>
    <row r="16" spans="1:8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R27" sqref="R27"/>
    </sheetView>
  </sheetViews>
  <sheetFormatPr defaultRowHeight="14.25" x14ac:dyDescent="0.45"/>
  <sheetData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4"/>
  <sheetViews>
    <sheetView tabSelected="1" zoomScale="130" zoomScaleNormal="130" workbookViewId="0">
      <selection activeCell="I14" sqref="I14"/>
    </sheetView>
  </sheetViews>
  <sheetFormatPr defaultColWidth="0" defaultRowHeight="25.5" zeroHeight="1" x14ac:dyDescent="0.75"/>
  <cols>
    <col min="1" max="1" width="6" style="1" customWidth="1"/>
    <col min="2" max="4" width="16.53125" style="1" bestFit="1" customWidth="1"/>
    <col min="5" max="5" width="18.1328125" style="1" bestFit="1" customWidth="1"/>
    <col min="6" max="6" width="16.53125" style="1" bestFit="1" customWidth="1"/>
    <col min="7" max="7" width="16.53125" style="1" customWidth="1"/>
    <col min="8" max="8" width="15.46484375" style="1" customWidth="1"/>
    <col min="9" max="9" width="13.6640625" style="1" customWidth="1"/>
    <col min="10" max="33" width="0" style="1" hidden="1" customWidth="1"/>
    <col min="34" max="16384" width="9.1328125" style="1" hidden="1"/>
  </cols>
  <sheetData>
    <row r="1" spans="1:9" ht="57" customHeight="1" thickBot="1" x14ac:dyDescent="0.8">
      <c r="A1" s="35" t="s">
        <v>19</v>
      </c>
      <c r="B1" s="38"/>
      <c r="C1" s="38"/>
      <c r="D1" s="38"/>
      <c r="E1" s="38"/>
      <c r="F1" s="38"/>
      <c r="G1" s="38"/>
      <c r="H1" s="38"/>
      <c r="I1" s="39"/>
    </row>
    <row r="2" spans="1:9" ht="28.9" x14ac:dyDescent="0.95">
      <c r="A2" s="6" t="s">
        <v>0</v>
      </c>
      <c r="B2" s="9" t="s">
        <v>1</v>
      </c>
      <c r="C2" s="9" t="s">
        <v>13</v>
      </c>
      <c r="D2" s="9" t="s">
        <v>2</v>
      </c>
      <c r="E2" s="9" t="s">
        <v>14</v>
      </c>
      <c r="F2" s="9" t="s">
        <v>3</v>
      </c>
      <c r="G2" s="9" t="s">
        <v>4</v>
      </c>
      <c r="H2" s="9" t="s">
        <v>7</v>
      </c>
      <c r="I2" s="10" t="s">
        <v>8</v>
      </c>
    </row>
    <row r="3" spans="1:9" x14ac:dyDescent="0.75">
      <c r="A3" s="7">
        <v>1</v>
      </c>
      <c r="B3" s="2">
        <v>0</v>
      </c>
      <c r="C3" s="2">
        <v>1.3</v>
      </c>
      <c r="D3" s="2">
        <f t="shared" ref="D3:E7" si="0">B3^10-1</f>
        <v>-1</v>
      </c>
      <c r="E3" s="2">
        <f t="shared" si="0"/>
        <v>12.785849184900005</v>
      </c>
      <c r="F3" s="2">
        <f>(B3+C3)/2</f>
        <v>0.65</v>
      </c>
      <c r="G3" s="2">
        <f>F3^10-1</f>
        <v>-0.98653725665537106</v>
      </c>
      <c r="H3" s="12">
        <f>100*ABS((F3-1)/1)</f>
        <v>35</v>
      </c>
      <c r="I3" s="13" t="s">
        <v>6</v>
      </c>
    </row>
    <row r="4" spans="1:9" x14ac:dyDescent="0.75">
      <c r="A4" s="7">
        <v>2</v>
      </c>
      <c r="B4" s="2">
        <f>F3</f>
        <v>0.65</v>
      </c>
      <c r="C4" s="2">
        <v>1.3</v>
      </c>
      <c r="D4" s="2">
        <f t="shared" si="0"/>
        <v>-0.98653725665537106</v>
      </c>
      <c r="E4" s="2">
        <f t="shared" si="0"/>
        <v>12.785849184900005</v>
      </c>
      <c r="F4" s="2">
        <f>(B4+C4)/2</f>
        <v>0.97500000000000009</v>
      </c>
      <c r="G4" s="2">
        <f>F4^10-1</f>
        <v>-0.22367037914356158</v>
      </c>
      <c r="H4" s="12">
        <f>100*ABS((F4-1)/1)</f>
        <v>2.4999999999999911</v>
      </c>
      <c r="I4" s="14">
        <f>100*ABS((F4-F3)/F4)</f>
        <v>33.333333333333336</v>
      </c>
    </row>
    <row r="5" spans="1:9" x14ac:dyDescent="0.75">
      <c r="A5" s="7">
        <v>3</v>
      </c>
      <c r="B5" s="2">
        <f>F4</f>
        <v>0.97500000000000009</v>
      </c>
      <c r="C5" s="2">
        <v>1.3</v>
      </c>
      <c r="D5" s="2">
        <f t="shared" si="0"/>
        <v>-0.22367037914356158</v>
      </c>
      <c r="E5" s="2">
        <f t="shared" si="0"/>
        <v>12.785849184900005</v>
      </c>
      <c r="F5" s="2">
        <f>(B5+C5)/2</f>
        <v>1.1375000000000002</v>
      </c>
      <c r="G5" s="2">
        <f>F5^10-1</f>
        <v>2.6267202172252175</v>
      </c>
      <c r="H5" s="12">
        <f>100*ABS((F5-1)/1)</f>
        <v>13.750000000000018</v>
      </c>
      <c r="I5" s="14">
        <f>100*ABS((F5-F4)/F5)</f>
        <v>14.28571428571429</v>
      </c>
    </row>
    <row r="6" spans="1:9" x14ac:dyDescent="0.75">
      <c r="A6" s="7">
        <v>4</v>
      </c>
      <c r="B6" s="2">
        <f>B5</f>
        <v>0.97500000000000009</v>
      </c>
      <c r="C6" s="2">
        <f>F5</f>
        <v>1.1375000000000002</v>
      </c>
      <c r="D6" s="2">
        <f t="shared" si="0"/>
        <v>-0.22367037914356158</v>
      </c>
      <c r="E6" s="2">
        <f t="shared" si="0"/>
        <v>2.6267202172252175</v>
      </c>
      <c r="F6" s="2">
        <f>(B6+C6)/2</f>
        <v>1.0562500000000001</v>
      </c>
      <c r="G6" s="2">
        <f>F6^10-1</f>
        <v>0.72849138606405361</v>
      </c>
      <c r="H6" s="12">
        <f>100*ABS((F6-1)/1)</f>
        <v>5.6250000000000133</v>
      </c>
      <c r="I6" s="14">
        <f>100*ABS((F6-F5)/F6)</f>
        <v>7.6923076923076952</v>
      </c>
    </row>
    <row r="7" spans="1:9" ht="25.9" thickBot="1" x14ac:dyDescent="0.8">
      <c r="A7" s="7">
        <v>5</v>
      </c>
      <c r="B7" s="2">
        <f>B6</f>
        <v>0.97500000000000009</v>
      </c>
      <c r="C7" s="2">
        <f>F6</f>
        <v>1.0562500000000001</v>
      </c>
      <c r="D7" s="2">
        <f t="shared" si="0"/>
        <v>-0.22367037914356158</v>
      </c>
      <c r="E7" s="2">
        <f t="shared" si="0"/>
        <v>0.72849138606405361</v>
      </c>
      <c r="F7" s="2">
        <f>(B7+C7)/2</f>
        <v>1.015625</v>
      </c>
      <c r="G7" s="2">
        <f>F7^10-1</f>
        <v>0.16770684654891421</v>
      </c>
      <c r="H7" s="12">
        <f>100*ABS((F7-1)/1)</f>
        <v>1.5625</v>
      </c>
      <c r="I7" s="14">
        <f>100*ABS((F7-F6)/F7)</f>
        <v>4.0000000000000133</v>
      </c>
    </row>
    <row r="8" spans="1:9" ht="25.9" thickBot="1" x14ac:dyDescent="0.8">
      <c r="A8" s="42" t="s">
        <v>18</v>
      </c>
      <c r="B8" s="43"/>
      <c r="C8" s="43"/>
      <c r="D8" s="43"/>
      <c r="E8" s="43"/>
      <c r="F8" s="43"/>
      <c r="G8" s="43"/>
      <c r="H8" s="43"/>
      <c r="I8" s="44"/>
    </row>
    <row r="9" spans="1:9" ht="28.9" x14ac:dyDescent="0.95">
      <c r="A9" s="6" t="s">
        <v>0</v>
      </c>
      <c r="B9" s="9" t="s">
        <v>1</v>
      </c>
      <c r="C9" s="9" t="s">
        <v>13</v>
      </c>
      <c r="D9" s="9" t="s">
        <v>2</v>
      </c>
      <c r="E9" s="9" t="s">
        <v>14</v>
      </c>
      <c r="F9" s="9" t="s">
        <v>3</v>
      </c>
      <c r="G9" s="9"/>
      <c r="H9" s="9" t="s">
        <v>7</v>
      </c>
      <c r="I9" s="10" t="s">
        <v>8</v>
      </c>
    </row>
    <row r="10" spans="1:9" x14ac:dyDescent="0.75">
      <c r="A10" s="7">
        <v>1</v>
      </c>
      <c r="B10" s="2">
        <v>0</v>
      </c>
      <c r="C10" s="2">
        <v>1.3</v>
      </c>
      <c r="D10" s="2">
        <f t="shared" ref="D10:E14" si="1">B10^10-1</f>
        <v>-1</v>
      </c>
      <c r="E10" s="2">
        <f t="shared" si="1"/>
        <v>12.785849184900005</v>
      </c>
      <c r="F10" s="2">
        <f>C10+(E10*(B10-C10)/(E10-D10))</f>
        <v>9.4299595372327349E-2</v>
      </c>
      <c r="G10" s="11"/>
      <c r="H10" s="12">
        <f>100*ABS((F10-1)/1)</f>
        <v>90.570040462767267</v>
      </c>
      <c r="I10" s="13" t="s">
        <v>6</v>
      </c>
    </row>
    <row r="11" spans="1:9" x14ac:dyDescent="0.75">
      <c r="A11" s="7">
        <v>2</v>
      </c>
      <c r="B11" s="2">
        <f>F10</f>
        <v>9.4299595372327349E-2</v>
      </c>
      <c r="C11" s="2">
        <v>1.3</v>
      </c>
      <c r="D11" s="2">
        <f t="shared" si="1"/>
        <v>-0.99999999994439703</v>
      </c>
      <c r="E11" s="2">
        <f t="shared" si="1"/>
        <v>12.785849184900005</v>
      </c>
      <c r="F11" s="2">
        <f>C11+(E11*(B11-C11)/(E11-D11))</f>
        <v>0.1817588725190793</v>
      </c>
      <c r="G11" s="11"/>
      <c r="H11" s="12">
        <f>100*ABS((F11-1)/1)</f>
        <v>81.824112748092077</v>
      </c>
      <c r="I11" s="14">
        <f>100*ABS((F11-F10)/F11)</f>
        <v>48.118298674839828</v>
      </c>
    </row>
    <row r="12" spans="1:9" x14ac:dyDescent="0.75">
      <c r="A12" s="7">
        <v>3</v>
      </c>
      <c r="B12" s="2">
        <f>F11</f>
        <v>0.1817588725190793</v>
      </c>
      <c r="C12" s="2">
        <v>1.3</v>
      </c>
      <c r="D12" s="2">
        <f t="shared" si="1"/>
        <v>-0.99999996064896135</v>
      </c>
      <c r="E12" s="2">
        <f t="shared" si="1"/>
        <v>12.785849184900005</v>
      </c>
      <c r="F12" s="2">
        <f>C12+(E12*(B12-C12)/(E12-D12))</f>
        <v>0.26287401252030418</v>
      </c>
      <c r="G12" s="11"/>
      <c r="H12" s="12">
        <f>100*ABS((F12-1)/1)</f>
        <v>73.712598747969579</v>
      </c>
      <c r="I12" s="14">
        <f>100*ABS((F12-F11)/F12)</f>
        <v>30.857040307458927</v>
      </c>
    </row>
    <row r="13" spans="1:9" x14ac:dyDescent="0.75">
      <c r="A13" s="7">
        <v>4</v>
      </c>
      <c r="B13" s="2">
        <f>F12</f>
        <v>0.26287401252030418</v>
      </c>
      <c r="C13" s="2">
        <v>1.3</v>
      </c>
      <c r="D13" s="2">
        <f t="shared" si="1"/>
        <v>-0.99999842428908714</v>
      </c>
      <c r="E13" s="2">
        <f t="shared" si="1"/>
        <v>12.785849184900005</v>
      </c>
      <c r="F13" s="2">
        <f>C13+(E13*(B13-C13)/(E13-D13))</f>
        <v>0.3381051033222694</v>
      </c>
      <c r="G13" s="11"/>
      <c r="H13" s="12">
        <f>100*ABS((F13-1)/1)</f>
        <v>66.18948966777306</v>
      </c>
      <c r="I13" s="14">
        <f>100*ABS((F13-F12)/F13)</f>
        <v>22.250800139581951</v>
      </c>
    </row>
    <row r="14" spans="1:9" ht="25.9" thickBot="1" x14ac:dyDescent="0.8">
      <c r="A14" s="8">
        <v>5</v>
      </c>
      <c r="B14" s="4">
        <f>F13</f>
        <v>0.3381051033222694</v>
      </c>
      <c r="C14" s="4">
        <v>1.3</v>
      </c>
      <c r="D14" s="4">
        <f t="shared" si="1"/>
        <v>-0.99998047831682779</v>
      </c>
      <c r="E14" s="4">
        <f t="shared" si="1"/>
        <v>12.785849184900005</v>
      </c>
      <c r="F14" s="4">
        <f>C14+(E14*(B14-C14)/(E14-D14))</f>
        <v>0.40787791659275241</v>
      </c>
      <c r="G14" s="17"/>
      <c r="H14" s="15">
        <f>100*ABS((F14-1)/1)</f>
        <v>59.212208340724757</v>
      </c>
      <c r="I14" s="16">
        <f>100*ABS((F14-F13)/F14)</f>
        <v>17.106298338811023</v>
      </c>
    </row>
  </sheetData>
  <mergeCells count="2">
    <mergeCell ref="A1:I1"/>
    <mergeCell ref="A8:I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zoomScale="160" zoomScaleNormal="160" workbookViewId="0">
      <selection activeCell="E3" sqref="E3"/>
    </sheetView>
  </sheetViews>
  <sheetFormatPr defaultColWidth="0" defaultRowHeight="25.5" zeroHeight="1" x14ac:dyDescent="0.75"/>
  <cols>
    <col min="1" max="1" width="6" style="1" customWidth="1"/>
    <col min="2" max="3" width="16.53125" style="1" bestFit="1" customWidth="1"/>
    <col min="4" max="4" width="20" style="1" bestFit="1" customWidth="1"/>
    <col min="5" max="5" width="19.86328125" style="1" bestFit="1" customWidth="1"/>
    <col min="6" max="28" width="9.1328125" style="1" hidden="1" customWidth="1"/>
    <col min="29" max="16384" width="9.1328125" style="1" hidden="1"/>
  </cols>
  <sheetData>
    <row r="1" spans="1:5" ht="86.25" customHeight="1" thickBot="1" x14ac:dyDescent="0.8">
      <c r="A1" s="40" t="s">
        <v>21</v>
      </c>
      <c r="B1" s="41"/>
      <c r="C1" s="41"/>
      <c r="D1" s="41"/>
      <c r="E1" s="45"/>
    </row>
    <row r="2" spans="1:5" ht="28.9" x14ac:dyDescent="0.95">
      <c r="A2" s="6" t="s">
        <v>0</v>
      </c>
      <c r="B2" s="9" t="s">
        <v>3</v>
      </c>
      <c r="C2" s="9" t="s">
        <v>20</v>
      </c>
      <c r="D2" s="9" t="s">
        <v>22</v>
      </c>
      <c r="E2" s="10" t="s">
        <v>23</v>
      </c>
    </row>
    <row r="3" spans="1:5" x14ac:dyDescent="0.75">
      <c r="A3" s="7">
        <v>1</v>
      </c>
      <c r="B3" s="2">
        <v>0</v>
      </c>
      <c r="C3" s="2">
        <f t="shared" ref="C3:C9" si="0">EXP(-B3)</f>
        <v>1</v>
      </c>
      <c r="D3" s="12">
        <f xml:space="preserve"> 100*ABS(C3-0.5671432)/0.5671432</f>
        <v>76.322311543186999</v>
      </c>
      <c r="E3" s="14">
        <f>100*ABS((C3-B3)/C3)</f>
        <v>100</v>
      </c>
    </row>
    <row r="4" spans="1:5" x14ac:dyDescent="0.75">
      <c r="A4" s="7">
        <v>2</v>
      </c>
      <c r="B4" s="2">
        <f t="shared" ref="B4:B9" si="1">C3</f>
        <v>1</v>
      </c>
      <c r="C4" s="2">
        <f t="shared" si="0"/>
        <v>0.36787944117144233</v>
      </c>
      <c r="D4" s="12">
        <f t="shared" ref="D4:D9" si="2" xml:space="preserve"> 100*ABS(C4-0.5671432)/0.5671432</f>
        <v>35.13464656343541</v>
      </c>
      <c r="E4" s="14">
        <f>100*ABS((C4-B4)/C4)</f>
        <v>171.82818284590451</v>
      </c>
    </row>
    <row r="5" spans="1:5" x14ac:dyDescent="0.75">
      <c r="A5" s="7">
        <v>3</v>
      </c>
      <c r="B5" s="2">
        <f t="shared" si="1"/>
        <v>0.36787944117144233</v>
      </c>
      <c r="C5" s="2">
        <f t="shared" si="0"/>
        <v>0.69220062755534639</v>
      </c>
      <c r="D5" s="12">
        <f t="shared" si="2"/>
        <v>22.050414702203334</v>
      </c>
      <c r="E5" s="14">
        <f t="shared" ref="E5:E9" si="3">100*ABS((C5-B5)/C5)</f>
        <v>46.853639461338439</v>
      </c>
    </row>
    <row r="6" spans="1:5" x14ac:dyDescent="0.75">
      <c r="A6" s="7">
        <v>4</v>
      </c>
      <c r="B6" s="2">
        <f t="shared" si="1"/>
        <v>0.69220062755534639</v>
      </c>
      <c r="C6" s="2">
        <f t="shared" si="0"/>
        <v>0.50047350056363682</v>
      </c>
      <c r="D6" s="12">
        <f t="shared" si="2"/>
        <v>11.755355514509059</v>
      </c>
      <c r="E6" s="14">
        <f t="shared" si="3"/>
        <v>38.309146593333139</v>
      </c>
    </row>
    <row r="7" spans="1:5" x14ac:dyDescent="0.75">
      <c r="A7" s="7">
        <v>5</v>
      </c>
      <c r="B7" s="2">
        <f t="shared" si="1"/>
        <v>0.50047350056363682</v>
      </c>
      <c r="C7" s="2">
        <f t="shared" si="0"/>
        <v>0.60624353508559736</v>
      </c>
      <c r="D7" s="12">
        <f t="shared" si="2"/>
        <v>6.8942614644057105</v>
      </c>
      <c r="E7" s="14">
        <f t="shared" si="3"/>
        <v>17.446789681151248</v>
      </c>
    </row>
    <row r="8" spans="1:5" x14ac:dyDescent="0.75">
      <c r="A8" s="7">
        <v>6</v>
      </c>
      <c r="B8" s="2">
        <f t="shared" si="1"/>
        <v>0.60624353508559736</v>
      </c>
      <c r="C8" s="2">
        <f t="shared" si="0"/>
        <v>0.54539578597502703</v>
      </c>
      <c r="D8" s="12">
        <f t="shared" si="2"/>
        <v>3.8345543109699518</v>
      </c>
      <c r="E8" s="14">
        <f t="shared" si="3"/>
        <v>11.156622525381316</v>
      </c>
    </row>
    <row r="9" spans="1:5" ht="25.9" thickBot="1" x14ac:dyDescent="0.8">
      <c r="A9" s="8">
        <v>7</v>
      </c>
      <c r="B9" s="4">
        <f t="shared" si="1"/>
        <v>0.54539578597502703</v>
      </c>
      <c r="C9" s="4">
        <f t="shared" si="0"/>
        <v>0.57961233550337887</v>
      </c>
      <c r="D9" s="15">
        <f t="shared" si="2"/>
        <v>2.1985867949009905</v>
      </c>
      <c r="E9" s="16">
        <f t="shared" si="3"/>
        <v>5.9033508144086735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1574-366D-4E18-9A49-B40FAC4824C7}">
  <dimension ref="A1:E28"/>
  <sheetViews>
    <sheetView zoomScaleNormal="100" workbookViewId="0">
      <selection activeCell="D3" sqref="D3:D9"/>
    </sheetView>
  </sheetViews>
  <sheetFormatPr defaultColWidth="0" defaultRowHeight="26.25" customHeight="1" zeroHeight="1" x14ac:dyDescent="0.75"/>
  <cols>
    <col min="1" max="1" width="6" style="1" customWidth="1"/>
    <col min="2" max="3" width="16.53125" style="1" bestFit="1" customWidth="1"/>
    <col min="4" max="4" width="20" style="1" bestFit="1" customWidth="1"/>
    <col min="5" max="5" width="19.86328125" style="1" bestFit="1" customWidth="1"/>
    <col min="6" max="28" width="9.1328125" style="1" hidden="1" customWidth="1"/>
    <col min="29" max="16384" width="9.1328125" style="1" hidden="1"/>
  </cols>
  <sheetData>
    <row r="1" spans="1:5" ht="86.25" customHeight="1" thickBot="1" x14ac:dyDescent="0.8">
      <c r="A1" s="40" t="s">
        <v>21</v>
      </c>
      <c r="B1" s="41"/>
      <c r="C1" s="41"/>
      <c r="D1" s="41"/>
      <c r="E1" s="45"/>
    </row>
    <row r="2" spans="1:5" ht="28.9" x14ac:dyDescent="0.95">
      <c r="A2" s="6" t="s">
        <v>0</v>
      </c>
      <c r="B2" s="9" t="s">
        <v>3</v>
      </c>
      <c r="C2" s="9" t="s">
        <v>20</v>
      </c>
      <c r="D2" s="9" t="s">
        <v>22</v>
      </c>
      <c r="E2" s="10" t="s">
        <v>23</v>
      </c>
    </row>
    <row r="3" spans="1:5" ht="25.5" x14ac:dyDescent="0.75">
      <c r="A3" s="7">
        <v>0</v>
      </c>
      <c r="B3" s="2">
        <v>0</v>
      </c>
      <c r="C3" s="2">
        <f t="shared" ref="C3:C6" si="0">EXP(-B3)</f>
        <v>1</v>
      </c>
      <c r="D3" s="12">
        <f t="shared" ref="D3:D5" si="1" xml:space="preserve"> 100*ABS(C3-0.5671432)/0.5671432</f>
        <v>76.322311543186999</v>
      </c>
      <c r="E3" s="14">
        <f t="shared" ref="E3:E9" si="2">100*ABS((C3-B3)/C3)</f>
        <v>100</v>
      </c>
    </row>
    <row r="4" spans="1:5" ht="25.5" x14ac:dyDescent="0.75">
      <c r="A4" s="7">
        <v>1</v>
      </c>
      <c r="B4" s="2">
        <f t="shared" ref="B4:B9" si="3">C3</f>
        <v>1</v>
      </c>
      <c r="C4" s="2">
        <f t="shared" si="0"/>
        <v>0.36787944117144233</v>
      </c>
      <c r="D4" s="12">
        <f t="shared" si="1"/>
        <v>35.13464656343541</v>
      </c>
      <c r="E4" s="14">
        <f t="shared" si="2"/>
        <v>171.82818284590451</v>
      </c>
    </row>
    <row r="5" spans="1:5" ht="25.5" x14ac:dyDescent="0.75">
      <c r="A5" s="7">
        <v>2</v>
      </c>
      <c r="B5" s="2">
        <f t="shared" si="3"/>
        <v>0.36787944117144233</v>
      </c>
      <c r="C5" s="2">
        <f t="shared" si="0"/>
        <v>0.69220062755534639</v>
      </c>
      <c r="D5" s="12">
        <f t="shared" si="1"/>
        <v>22.050414702203334</v>
      </c>
      <c r="E5" s="14">
        <f t="shared" si="2"/>
        <v>46.853639461338439</v>
      </c>
    </row>
    <row r="6" spans="1:5" ht="25.5" x14ac:dyDescent="0.75">
      <c r="A6" s="7">
        <v>3</v>
      </c>
      <c r="B6" s="2">
        <f t="shared" si="3"/>
        <v>0.69220062755534639</v>
      </c>
      <c r="C6" s="2">
        <f t="shared" si="0"/>
        <v>0.50047350056363682</v>
      </c>
      <c r="D6" s="12">
        <f t="shared" ref="D6" si="4" xml:space="preserve"> 100*ABS(C6-0.5671432)/0.5671432</f>
        <v>11.755355514509059</v>
      </c>
      <c r="E6" s="14">
        <f t="shared" si="2"/>
        <v>38.309146593333139</v>
      </c>
    </row>
    <row r="7" spans="1:5" ht="25.5" x14ac:dyDescent="0.75">
      <c r="A7" s="7">
        <v>4</v>
      </c>
      <c r="B7" s="2">
        <f t="shared" si="3"/>
        <v>0.50047350056363682</v>
      </c>
      <c r="C7" s="2">
        <f t="shared" ref="C7:C9" si="5">EXP(-B7)</f>
        <v>0.60624353508559736</v>
      </c>
      <c r="D7" s="12">
        <f t="shared" ref="D7:D9" si="6" xml:space="preserve"> 100*ABS(C7-0.5671432)/0.5671432</f>
        <v>6.8942614644057105</v>
      </c>
      <c r="E7" s="14">
        <f t="shared" si="2"/>
        <v>17.446789681151248</v>
      </c>
    </row>
    <row r="8" spans="1:5" ht="25.5" x14ac:dyDescent="0.75">
      <c r="A8" s="7">
        <v>5</v>
      </c>
      <c r="B8" s="2">
        <f t="shared" si="3"/>
        <v>0.60624353508559736</v>
      </c>
      <c r="C8" s="2">
        <f t="shared" si="5"/>
        <v>0.54539578597502703</v>
      </c>
      <c r="D8" s="12">
        <f t="shared" si="6"/>
        <v>3.8345543109699518</v>
      </c>
      <c r="E8" s="14">
        <f t="shared" si="2"/>
        <v>11.156622525381316</v>
      </c>
    </row>
    <row r="9" spans="1:5" ht="25.9" thickBot="1" x14ac:dyDescent="0.8">
      <c r="A9" s="8">
        <v>6</v>
      </c>
      <c r="B9" s="2">
        <f t="shared" si="3"/>
        <v>0.54539578597502703</v>
      </c>
      <c r="C9" s="2">
        <f t="shared" si="5"/>
        <v>0.57961233550337887</v>
      </c>
      <c r="D9" s="12">
        <f t="shared" si="6"/>
        <v>2.1985867949009905</v>
      </c>
      <c r="E9" s="14">
        <f t="shared" si="2"/>
        <v>5.9033508144086735</v>
      </c>
    </row>
    <row r="10" spans="1:5" ht="25.5" hidden="1" x14ac:dyDescent="0.75"/>
    <row r="11" spans="1:5" ht="25.5" hidden="1" x14ac:dyDescent="0.75"/>
    <row r="12" spans="1:5" ht="25.5" hidden="1" x14ac:dyDescent="0.75"/>
    <row r="13" spans="1:5" ht="25.5" hidden="1" x14ac:dyDescent="0.75"/>
    <row r="14" spans="1:5" ht="25.5" hidden="1" x14ac:dyDescent="0.75"/>
    <row r="15" spans="1:5" ht="25.5" hidden="1" x14ac:dyDescent="0.75"/>
    <row r="16" spans="1:5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94F4-4976-43E6-88EC-268074FEB564}">
  <dimension ref="A1"/>
  <sheetViews>
    <sheetView workbookViewId="0">
      <selection activeCell="R27" sqref="R27"/>
    </sheetView>
  </sheetViews>
  <sheetFormatPr defaultRowHeight="14.25" x14ac:dyDescent="0.45"/>
  <sheetData/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"/>
  <sheetViews>
    <sheetView zoomScaleNormal="100" workbookViewId="0">
      <selection activeCell="G5" sqref="G5"/>
    </sheetView>
  </sheetViews>
  <sheetFormatPr defaultColWidth="0" defaultRowHeight="26.25" customHeight="1" zeroHeight="1" x14ac:dyDescent="0.75"/>
  <cols>
    <col min="1" max="1" width="6" style="1" customWidth="1"/>
    <col min="2" max="2" width="20" style="1" bestFit="1" customWidth="1"/>
    <col min="3" max="3" width="16.86328125" style="1" bestFit="1" customWidth="1"/>
    <col min="4" max="4" width="20" style="1" bestFit="1" customWidth="1"/>
    <col min="5" max="5" width="19.86328125" style="1" bestFit="1" customWidth="1"/>
    <col min="6" max="6" width="18.1328125" style="1" customWidth="1"/>
    <col min="7" max="7" width="17.86328125" style="1" bestFit="1" customWidth="1"/>
    <col min="8" max="28" width="9.1328125" style="1" hidden="1" customWidth="1"/>
    <col min="29" max="16384" width="9.1328125" style="1" hidden="1"/>
  </cols>
  <sheetData>
    <row r="1" spans="1:7" ht="86.25" customHeight="1" thickBot="1" x14ac:dyDescent="0.8">
      <c r="A1" s="40" t="s">
        <v>30</v>
      </c>
      <c r="B1" s="41"/>
      <c r="C1" s="41"/>
      <c r="D1" s="41"/>
      <c r="E1" s="41"/>
      <c r="F1" s="46"/>
      <c r="G1" s="47"/>
    </row>
    <row r="2" spans="1:7" ht="28.9" x14ac:dyDescent="0.95">
      <c r="A2" s="6" t="s">
        <v>0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10" t="s">
        <v>29</v>
      </c>
    </row>
    <row r="3" spans="1:7" ht="25.5" x14ac:dyDescent="0.75">
      <c r="A3" s="7">
        <v>1</v>
      </c>
      <c r="B3" s="20">
        <f>(1.5)-(1.5)^3-4*(1.5)^2+10</f>
        <v>-0.875</v>
      </c>
      <c r="C3" s="21">
        <f>100*ABS(B3-1.365230013)/1.365230013</f>
        <v>164.09176414729171</v>
      </c>
      <c r="D3" s="24">
        <f>(10/(1.5+4))^0.5</f>
        <v>1.3483997249264841</v>
      </c>
      <c r="E3" s="25">
        <f>100*ABS(D3-1.365230013)/1.365230013</f>
        <v>1.232780404272861</v>
      </c>
      <c r="F3" s="19">
        <f>1.5-((1.5^3+4*1.5^2-10)/(3*1.5^2+8*1.5))</f>
        <v>1.3733333333333333</v>
      </c>
      <c r="G3" s="26">
        <f>100*ABS(F3-1.365230013)/1.365230013</f>
        <v>0.59354982355880759</v>
      </c>
    </row>
    <row r="4" spans="1:7" ht="25.5" x14ac:dyDescent="0.75">
      <c r="A4" s="7">
        <v>2</v>
      </c>
      <c r="B4" s="20">
        <f>B3-(B3)^3-4*(B3)^2+10</f>
        <v>6.732421875</v>
      </c>
      <c r="C4" s="21">
        <f>100*ABS(B4-1.365230013)/1.365230013</f>
        <v>393.1346228029343</v>
      </c>
      <c r="D4" s="24">
        <f>(10/(D3+4))^0.5</f>
        <v>1.3673763719912828</v>
      </c>
      <c r="E4" s="25">
        <f t="shared" ref="E4:E7" si="0">100*ABS(D4-1.365230013)/1.365230013</f>
        <v>0.15721592485111183</v>
      </c>
      <c r="F4" s="19">
        <f>F3-((F3^3+4*F3^2-10)/(3*F3^2+8*F3))</f>
        <v>1.3652620148746266</v>
      </c>
      <c r="G4" s="26">
        <f t="shared" ref="G4:G7" si="1">100*ABS(F4-1.365230013)/1.365230013</f>
        <v>2.3440646866813436E-3</v>
      </c>
    </row>
    <row r="5" spans="1:7" ht="25.5" x14ac:dyDescent="0.75">
      <c r="A5" s="7">
        <v>3</v>
      </c>
      <c r="B5" s="22">
        <f>B4-(B4)^3-4*(B4)^2+10</f>
        <v>-469.72001200169325</v>
      </c>
      <c r="C5" s="21">
        <f>100*ABS(B5-1.365230013)/1.365230013</f>
        <v>34505.924827972063</v>
      </c>
      <c r="D5" s="24">
        <f t="shared" ref="D5:D7" si="2">(10/(D4+4))^0.5</f>
        <v>1.364957015402487</v>
      </c>
      <c r="E5" s="25">
        <f t="shared" si="0"/>
        <v>1.9996454437225267E-2</v>
      </c>
      <c r="F5" s="19">
        <f t="shared" ref="F5:F7" si="3">F4-((F4^3+4*F4^2-10)/(3*F4^2+8*F4))</f>
        <v>1.3652300139161466</v>
      </c>
      <c r="G5" s="26">
        <f t="shared" si="1"/>
        <v>6.7105667566896098E-8</v>
      </c>
    </row>
    <row r="6" spans="1:7" ht="25.5" x14ac:dyDescent="0.75">
      <c r="A6" s="7">
        <v>4</v>
      </c>
      <c r="B6" s="23"/>
      <c r="C6" s="23"/>
      <c r="D6" s="24">
        <f t="shared" si="2"/>
        <v>1.3652647481134421</v>
      </c>
      <c r="E6" s="25">
        <f t="shared" si="0"/>
        <v>2.5442682267056223E-3</v>
      </c>
      <c r="F6" s="19">
        <f t="shared" si="3"/>
        <v>1.3652300134140969</v>
      </c>
      <c r="G6" s="26">
        <f t="shared" si="1"/>
        <v>3.0331663894428601E-8</v>
      </c>
    </row>
    <row r="7" spans="1:7" ht="25.9" thickBot="1" x14ac:dyDescent="0.8">
      <c r="A7" s="8">
        <v>5</v>
      </c>
      <c r="B7" s="23"/>
      <c r="C7" s="23"/>
      <c r="D7" s="24">
        <f t="shared" si="2"/>
        <v>1.3652255941605249</v>
      </c>
      <c r="E7" s="25">
        <f t="shared" si="0"/>
        <v>3.2366996278417965E-4</v>
      </c>
      <c r="F7" s="19">
        <f t="shared" si="3"/>
        <v>1.3652300134140969</v>
      </c>
      <c r="G7" s="26">
        <f t="shared" si="1"/>
        <v>3.0331663894428601E-8</v>
      </c>
    </row>
    <row r="8" spans="1:7" ht="25.5" hidden="1" x14ac:dyDescent="0.75">
      <c r="B8" s="27"/>
      <c r="C8" s="27"/>
      <c r="D8" s="28"/>
      <c r="E8" s="29"/>
    </row>
    <row r="9" spans="1:7" ht="25.5" hidden="1" x14ac:dyDescent="0.75">
      <c r="B9" s="27"/>
      <c r="C9" s="27"/>
      <c r="D9" s="28"/>
      <c r="E9" s="29"/>
    </row>
    <row r="10" spans="1:7" ht="25.5" hidden="1" x14ac:dyDescent="0.75">
      <c r="B10" s="27"/>
      <c r="C10" s="27"/>
      <c r="D10" s="28"/>
      <c r="E10" s="29"/>
    </row>
    <row r="11" spans="1:7" ht="25.5" hidden="1" x14ac:dyDescent="0.75"/>
    <row r="12" spans="1:7" ht="25.5" hidden="1" x14ac:dyDescent="0.75"/>
    <row r="13" spans="1:7" ht="25.5" hidden="1" x14ac:dyDescent="0.75"/>
    <row r="14" spans="1:7" ht="25.5" hidden="1" x14ac:dyDescent="0.75"/>
    <row r="15" spans="1:7" ht="25.5" hidden="1" x14ac:dyDescent="0.75"/>
    <row r="16" spans="1:7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</sheetData>
  <mergeCells count="1">
    <mergeCell ref="A1:G1"/>
  </mergeCells>
  <pageMargins left="0.511811024" right="0.511811024" top="0.78740157499999996" bottom="0.78740157499999996" header="0.31496062000000002" footer="0.31496062000000002"/>
  <ignoredErrors>
    <ignoredError sqref="D4 F3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82C-C423-4D84-9E32-796402B5B1C1}">
  <dimension ref="A1:F28"/>
  <sheetViews>
    <sheetView zoomScale="115" zoomScaleNormal="115" workbookViewId="0">
      <selection activeCell="E4" sqref="E4:E6"/>
    </sheetView>
  </sheetViews>
  <sheetFormatPr defaultColWidth="0" defaultRowHeight="26.25" customHeight="1" zeroHeight="1" x14ac:dyDescent="0.75"/>
  <cols>
    <col min="1" max="1" width="6" style="1" customWidth="1"/>
    <col min="2" max="3" width="16.53125" style="1" bestFit="1" customWidth="1"/>
    <col min="4" max="4" width="16.53125" style="1" customWidth="1"/>
    <col min="5" max="5" width="20" style="1" bestFit="1" customWidth="1"/>
    <col min="6" max="6" width="19.86328125" style="1" bestFit="1" customWidth="1"/>
    <col min="7" max="29" width="9.1328125" style="1" hidden="1" customWidth="1"/>
    <col min="30" max="16384" width="9.1328125" style="1" hidden="1"/>
  </cols>
  <sheetData>
    <row r="1" spans="1:6" ht="86.25" customHeight="1" thickBot="1" x14ac:dyDescent="0.8">
      <c r="A1" s="40" t="s">
        <v>31</v>
      </c>
      <c r="B1" s="41"/>
      <c r="C1" s="41"/>
      <c r="D1" s="41"/>
      <c r="E1" s="41"/>
      <c r="F1" s="45"/>
    </row>
    <row r="2" spans="1:6" ht="28.9" x14ac:dyDescent="0.95">
      <c r="A2" s="6" t="s">
        <v>0</v>
      </c>
      <c r="B2" s="9" t="s">
        <v>3</v>
      </c>
      <c r="C2" s="9" t="s">
        <v>4</v>
      </c>
      <c r="D2" s="9" t="s">
        <v>32</v>
      </c>
      <c r="E2" s="9" t="s">
        <v>22</v>
      </c>
      <c r="F2" s="10" t="s">
        <v>23</v>
      </c>
    </row>
    <row r="3" spans="1:6" ht="25.5" x14ac:dyDescent="0.75">
      <c r="A3" s="7">
        <v>0</v>
      </c>
      <c r="B3" s="2">
        <v>0</v>
      </c>
      <c r="C3" s="2">
        <f>EXP(-B3)-B3</f>
        <v>1</v>
      </c>
      <c r="D3" s="2">
        <f>-EXP(-B3)-1</f>
        <v>-2</v>
      </c>
      <c r="E3" s="12">
        <f xml:space="preserve"> 100*ABS(B3-0.5671432)/0.5671432</f>
        <v>100</v>
      </c>
      <c r="F3" s="14" t="s">
        <v>6</v>
      </c>
    </row>
    <row r="4" spans="1:6" ht="25.5" x14ac:dyDescent="0.75">
      <c r="A4" s="7">
        <v>1</v>
      </c>
      <c r="B4" s="2">
        <f>B3-C3/D3</f>
        <v>0.5</v>
      </c>
      <c r="C4" s="2">
        <f>EXP(-B4)-B4</f>
        <v>0.10653065971263342</v>
      </c>
      <c r="D4" s="2">
        <f>-EXP(-B4)-1</f>
        <v>-1.6065306597126334</v>
      </c>
      <c r="E4" s="12">
        <f xml:space="preserve"> 100*ABS(B4-0.5671432)/0.5671432</f>
        <v>11.838844228406504</v>
      </c>
      <c r="F4" s="14">
        <f>100*ABS(B4-B3)/B4</f>
        <v>100</v>
      </c>
    </row>
    <row r="5" spans="1:6" ht="25.5" x14ac:dyDescent="0.75">
      <c r="A5" s="7">
        <v>2</v>
      </c>
      <c r="B5" s="2">
        <f>B4-C4/D4</f>
        <v>0.56631100319721817</v>
      </c>
      <c r="C5" s="2">
        <f>EXP(-B5)-B5</f>
        <v>1.3045098060200377E-3</v>
      </c>
      <c r="D5" s="2">
        <f>-EXP(-B5)-1</f>
        <v>-1.5676155130032381</v>
      </c>
      <c r="E5" s="12">
        <f xml:space="preserve"> 100*ABS(B5-0.5671432)/0.5671432</f>
        <v>0.14673486392533541</v>
      </c>
      <c r="F5" s="14">
        <f>100*ABS(B5-B4)/B5</f>
        <v>11.709290976662398</v>
      </c>
    </row>
    <row r="6" spans="1:6" ht="25.5" x14ac:dyDescent="0.75">
      <c r="A6" s="7">
        <v>3</v>
      </c>
      <c r="B6" s="2">
        <f>B5-C5/D5</f>
        <v>0.56714316503486217</v>
      </c>
      <c r="C6" s="2"/>
      <c r="D6" s="2"/>
      <c r="E6" s="12">
        <f xml:space="preserve"> 100*ABS(B6-0.5671432)/0.5671432</f>
        <v>6.1651339176974289E-6</v>
      </c>
      <c r="F6" s="14">
        <f>100*ABS(B6-B5)/B6</f>
        <v>0.14672870783743905</v>
      </c>
    </row>
    <row r="7" spans="1:6" ht="25.5" x14ac:dyDescent="0.75">
      <c r="A7" s="7">
        <v>4</v>
      </c>
      <c r="B7" s="2"/>
      <c r="C7" s="2"/>
      <c r="D7" s="2"/>
      <c r="E7" s="12"/>
      <c r="F7" s="14"/>
    </row>
    <row r="8" spans="1:6" ht="25.5" hidden="1" x14ac:dyDescent="0.75">
      <c r="A8" s="30"/>
      <c r="B8" s="2"/>
      <c r="C8" s="2"/>
      <c r="D8" s="2"/>
      <c r="E8" s="12"/>
      <c r="F8" s="14"/>
    </row>
    <row r="9" spans="1:6" ht="25.9" hidden="1" thickBot="1" x14ac:dyDescent="0.8">
      <c r="A9" s="31"/>
      <c r="B9" s="4"/>
      <c r="C9" s="4"/>
      <c r="D9" s="4"/>
      <c r="E9" s="15"/>
      <c r="F9" s="16"/>
    </row>
    <row r="10" spans="1:6" ht="25.5" hidden="1" x14ac:dyDescent="0.75"/>
    <row r="11" spans="1:6" ht="25.5" hidden="1" x14ac:dyDescent="0.75"/>
    <row r="12" spans="1:6" ht="25.5" hidden="1" x14ac:dyDescent="0.75"/>
    <row r="13" spans="1:6" ht="25.5" hidden="1" x14ac:dyDescent="0.75"/>
    <row r="14" spans="1:6" ht="25.5" hidden="1" x14ac:dyDescent="0.75"/>
    <row r="15" spans="1:6" ht="25.5" hidden="1" x14ac:dyDescent="0.75"/>
    <row r="16" spans="1:6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zoomScale="160" zoomScaleNormal="160" workbookViewId="0">
      <selection activeCell="F4" sqref="F4"/>
    </sheetView>
  </sheetViews>
  <sheetFormatPr defaultColWidth="0" defaultRowHeight="26.25" customHeight="1" zeroHeight="1" x14ac:dyDescent="0.75"/>
  <cols>
    <col min="1" max="1" width="6" style="1" customWidth="1"/>
    <col min="2" max="3" width="16.53125" style="1" bestFit="1" customWidth="1"/>
    <col min="4" max="4" width="16.53125" style="1" customWidth="1"/>
    <col min="5" max="5" width="20" style="1" bestFit="1" customWidth="1"/>
    <col min="6" max="6" width="19.86328125" style="1" bestFit="1" customWidth="1"/>
    <col min="7" max="29" width="9.1328125" style="1" hidden="1" customWidth="1"/>
    <col min="30" max="16384" width="9.1328125" style="1" hidden="1"/>
  </cols>
  <sheetData>
    <row r="1" spans="1:6" ht="86.25" customHeight="1" thickBot="1" x14ac:dyDescent="0.8">
      <c r="A1" s="40" t="s">
        <v>31</v>
      </c>
      <c r="B1" s="41"/>
      <c r="C1" s="41"/>
      <c r="D1" s="41"/>
      <c r="E1" s="41"/>
      <c r="F1" s="45"/>
    </row>
    <row r="2" spans="1:6" ht="28.9" x14ac:dyDescent="0.95">
      <c r="A2" s="6" t="s">
        <v>0</v>
      </c>
      <c r="B2" s="9" t="s">
        <v>3</v>
      </c>
      <c r="C2" s="9" t="s">
        <v>4</v>
      </c>
      <c r="D2" s="9" t="s">
        <v>32</v>
      </c>
      <c r="E2" s="9" t="s">
        <v>22</v>
      </c>
      <c r="F2" s="10" t="s">
        <v>23</v>
      </c>
    </row>
    <row r="3" spans="1:6" ht="25.5" x14ac:dyDescent="0.75">
      <c r="A3" s="7">
        <v>0</v>
      </c>
      <c r="B3" s="2">
        <v>0</v>
      </c>
      <c r="C3" s="2">
        <f>EXP(-B3)-B3</f>
        <v>1</v>
      </c>
      <c r="D3" s="2">
        <f>-EXP(B3)-1</f>
        <v>-2</v>
      </c>
      <c r="E3" s="12">
        <f xml:space="preserve"> 100*ABS(B3-0.5671432)/0.5671432</f>
        <v>100</v>
      </c>
      <c r="F3" s="14" t="s">
        <v>6</v>
      </c>
    </row>
    <row r="4" spans="1:6" ht="25.5" x14ac:dyDescent="0.75">
      <c r="A4" s="7">
        <v>1</v>
      </c>
      <c r="B4" s="2">
        <f>B3-C3/D3</f>
        <v>0.5</v>
      </c>
      <c r="C4" s="2">
        <f>EXP(-B4)-B4</f>
        <v>0.10653065971263342</v>
      </c>
      <c r="D4" s="2">
        <f>-EXP(-B4)-1</f>
        <v>-1.6065306597126334</v>
      </c>
      <c r="E4" s="12">
        <f xml:space="preserve"> 100*ABS(B4-0.5671432)/0.5671432</f>
        <v>11.838844228406504</v>
      </c>
      <c r="F4" s="14">
        <f>100*ABS(B4-B3)/B4</f>
        <v>100</v>
      </c>
    </row>
    <row r="5" spans="1:6" ht="25.5" x14ac:dyDescent="0.75">
      <c r="A5" s="7">
        <v>2</v>
      </c>
      <c r="B5" s="2">
        <f>B4-C4/D4</f>
        <v>0.56631100319721817</v>
      </c>
      <c r="C5" s="2">
        <f>EXP(-B5)-B5</f>
        <v>1.3045098060200377E-3</v>
      </c>
      <c r="D5" s="2">
        <f>-EXP(-B5)-1</f>
        <v>-1.5676155130032381</v>
      </c>
      <c r="E5" s="12">
        <f xml:space="preserve"> 100*ABS(B5-0.5671432)/0.5671432</f>
        <v>0.14673486392533541</v>
      </c>
      <c r="F5" s="14">
        <f t="shared" ref="F5:F7" si="0">100*ABS(B5-B4)/B5</f>
        <v>11.709290976662398</v>
      </c>
    </row>
    <row r="6" spans="1:6" ht="25.5" x14ac:dyDescent="0.75">
      <c r="A6" s="7">
        <v>3</v>
      </c>
      <c r="B6" s="2">
        <f>B5-C5/D5</f>
        <v>0.56714316503486217</v>
      </c>
      <c r="C6" s="2">
        <f>EXP(-B6)-B6</f>
        <v>1.964804717813351E-7</v>
      </c>
      <c r="D6" s="2">
        <f>-EXP(-B6)-1</f>
        <v>-1.5671433615153338</v>
      </c>
      <c r="E6" s="12">
        <f xml:space="preserve"> 100*ABS(B6-0.5671432)/0.5671432</f>
        <v>6.1651339176974289E-6</v>
      </c>
      <c r="F6" s="14">
        <f t="shared" si="0"/>
        <v>0.14672870783743905</v>
      </c>
    </row>
    <row r="7" spans="1:6" ht="25.5" x14ac:dyDescent="0.75">
      <c r="A7" s="7">
        <v>4</v>
      </c>
      <c r="B7" s="2">
        <f>B6-C6/D6</f>
        <v>0.56714329040978106</v>
      </c>
      <c r="C7" s="2">
        <f>EXP(-B7)-B7</f>
        <v>4.4408920985006262E-15</v>
      </c>
      <c r="D7" s="2">
        <f>-EXP(-B7)-1</f>
        <v>-1.5671432904097855</v>
      </c>
      <c r="E7" s="12">
        <f xml:space="preserve"> 100*ABS(B7-0.5671432)/0.5671432</f>
        <v>1.5941261590737971E-5</v>
      </c>
      <c r="F7" s="14">
        <f t="shared" si="0"/>
        <v>2.2106391984397626E-5</v>
      </c>
    </row>
    <row r="8" spans="1:6" ht="25.5" hidden="1" x14ac:dyDescent="0.75">
      <c r="A8" s="30"/>
      <c r="B8" s="2"/>
      <c r="C8" s="2"/>
      <c r="D8" s="2"/>
      <c r="E8" s="12"/>
      <c r="F8" s="14"/>
    </row>
    <row r="9" spans="1:6" ht="25.9" hidden="1" thickBot="1" x14ac:dyDescent="0.8">
      <c r="A9" s="31"/>
      <c r="B9" s="4"/>
      <c r="C9" s="4"/>
      <c r="D9" s="4"/>
      <c r="E9" s="15"/>
      <c r="F9" s="16"/>
    </row>
    <row r="10" spans="1:6" ht="25.5" hidden="1" x14ac:dyDescent="0.75"/>
    <row r="11" spans="1:6" ht="25.5" hidden="1" x14ac:dyDescent="0.75"/>
    <row r="12" spans="1:6" ht="25.5" hidden="1" x14ac:dyDescent="0.75"/>
    <row r="13" spans="1:6" ht="25.5" hidden="1" x14ac:dyDescent="0.75"/>
    <row r="14" spans="1:6" ht="25.5" hidden="1" x14ac:dyDescent="0.75"/>
    <row r="15" spans="1:6" ht="25.5" hidden="1" x14ac:dyDescent="0.75"/>
    <row r="16" spans="1:6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6336-36BA-4851-842C-8023646706FD}">
  <dimension ref="A1:E29"/>
  <sheetViews>
    <sheetView zoomScale="145" zoomScaleNormal="145" workbookViewId="0">
      <selection activeCell="C7" sqref="C7:E8"/>
    </sheetView>
  </sheetViews>
  <sheetFormatPr defaultColWidth="0" defaultRowHeight="0" customHeight="1" zeroHeight="1" x14ac:dyDescent="0.75"/>
  <cols>
    <col min="1" max="1" width="6" style="1" customWidth="1"/>
    <col min="2" max="3" width="16.53125" style="1" bestFit="1" customWidth="1"/>
    <col min="4" max="4" width="20" style="1" bestFit="1" customWidth="1"/>
    <col min="5" max="5" width="19.86328125" style="1" bestFit="1" customWidth="1"/>
    <col min="6" max="28" width="9.1328125" style="1" hidden="1" customWidth="1"/>
    <col min="29" max="16384" width="9.1328125" style="1" hidden="1"/>
  </cols>
  <sheetData>
    <row r="1" spans="1:5" ht="86.25" customHeight="1" thickBot="1" x14ac:dyDescent="0.8">
      <c r="A1" s="40" t="s">
        <v>33</v>
      </c>
      <c r="B1" s="41"/>
      <c r="C1" s="41"/>
      <c r="D1" s="41"/>
      <c r="E1" s="45"/>
    </row>
    <row r="2" spans="1:5" ht="28.9" x14ac:dyDescent="0.95">
      <c r="A2" s="6" t="s">
        <v>0</v>
      </c>
      <c r="B2" s="9" t="s">
        <v>3</v>
      </c>
      <c r="C2" s="9" t="s">
        <v>4</v>
      </c>
      <c r="D2" s="9" t="s">
        <v>22</v>
      </c>
      <c r="E2" s="10" t="s">
        <v>23</v>
      </c>
    </row>
    <row r="3" spans="1:5" ht="25.5" x14ac:dyDescent="0.75">
      <c r="A3" s="7">
        <v>0</v>
      </c>
      <c r="B3" s="2">
        <v>0</v>
      </c>
      <c r="C3" s="2">
        <f t="shared" ref="C3:C7" si="0">EXP(-B3)-B3</f>
        <v>1</v>
      </c>
      <c r="D3" s="18" t="s">
        <v>6</v>
      </c>
      <c r="E3" s="13" t="s">
        <v>6</v>
      </c>
    </row>
    <row r="4" spans="1:5" ht="25.5" x14ac:dyDescent="0.75">
      <c r="A4" s="7">
        <v>1</v>
      </c>
      <c r="B4" s="2">
        <v>1</v>
      </c>
      <c r="C4" s="2">
        <f t="shared" si="0"/>
        <v>-0.63212055882855767</v>
      </c>
      <c r="D4" s="18" t="s">
        <v>6</v>
      </c>
      <c r="E4" s="13" t="s">
        <v>6</v>
      </c>
    </row>
    <row r="5" spans="1:5" ht="25.5" x14ac:dyDescent="0.75">
      <c r="A5" s="7">
        <v>2</v>
      </c>
      <c r="B5" s="2">
        <f>B4-(C4*(B3-B4))/(C3-C4)</f>
        <v>0.61269983678028206</v>
      </c>
      <c r="C5" s="2">
        <f t="shared" si="0"/>
        <v>-7.0813947873170968E-2</v>
      </c>
      <c r="D5" s="12">
        <f>100*ABS(B5-0.5671432)/0.5671432</f>
        <v>8.0326515032327119</v>
      </c>
      <c r="E5" s="14">
        <f>100*ABS(B5-B4)/B5</f>
        <v>63.212055882855765</v>
      </c>
    </row>
    <row r="6" spans="1:5" ht="25.5" x14ac:dyDescent="0.75">
      <c r="A6" s="7">
        <v>3</v>
      </c>
      <c r="B6" s="2">
        <f>B5-(C5*(B4-B5))/(C4-C5)</f>
        <v>0.5638383891610742</v>
      </c>
      <c r="C6" s="2">
        <f t="shared" si="0"/>
        <v>5.1823545073383936E-3</v>
      </c>
      <c r="D6" s="12">
        <f>100*ABS(B6-0.5671432)/0.5671432</f>
        <v>0.58271188633236792</v>
      </c>
      <c r="E6" s="14">
        <f>100*ABS(B6-B5)/B6</f>
        <v>8.6658603880995049</v>
      </c>
    </row>
    <row r="7" spans="1:5" ht="25.5" x14ac:dyDescent="0.75">
      <c r="A7" s="7">
        <v>4</v>
      </c>
      <c r="B7" s="2">
        <f>B6-(C6*(B5-B6))/(C5-C6)</f>
        <v>0.56717035841974461</v>
      </c>
      <c r="C7" s="2">
        <f t="shared" si="0"/>
        <v>-4.2419242430091764E-5</v>
      </c>
      <c r="D7" s="12">
        <f>100*ABS(B7-0.5671432)/0.5671432</f>
        <v>4.7886353472377085E-3</v>
      </c>
      <c r="E7" s="14">
        <f>100*ABS(B7-B6)/B7</f>
        <v>0.58747238976909388</v>
      </c>
    </row>
    <row r="8" spans="1:5" ht="25.5" x14ac:dyDescent="0.75">
      <c r="A8" s="7">
        <v>5</v>
      </c>
      <c r="B8" s="2">
        <f>B7-(C7*(B6-B7))/(C6-C7)</f>
        <v>0.56714330660496326</v>
      </c>
      <c r="C8" s="2">
        <f t="shared" ref="C8" si="1">EXP(-B8)-B8</f>
        <v>-2.5380166635002865E-8</v>
      </c>
      <c r="D8" s="12">
        <f>100*ABS(B8-0.5671432)/0.5671432</f>
        <v>1.8796833551278274E-5</v>
      </c>
      <c r="E8" s="14">
        <f>100*ABS(B8-B7)/B8</f>
        <v>4.7698376171079922E-3</v>
      </c>
    </row>
    <row r="9" spans="1:5" ht="25.5" hidden="1" x14ac:dyDescent="0.75">
      <c r="A9" s="30"/>
      <c r="B9" s="2"/>
      <c r="C9" s="2"/>
      <c r="D9" s="12"/>
      <c r="E9" s="14"/>
    </row>
    <row r="10" spans="1:5" ht="25.9" hidden="1" thickBot="1" x14ac:dyDescent="0.8">
      <c r="A10" s="31"/>
      <c r="B10" s="4"/>
      <c r="C10" s="4"/>
      <c r="D10" s="15"/>
      <c r="E10" s="16"/>
    </row>
    <row r="11" spans="1:5" ht="25.5" hidden="1" x14ac:dyDescent="0.75"/>
    <row r="12" spans="1:5" ht="25.5" hidden="1" x14ac:dyDescent="0.75"/>
    <row r="13" spans="1:5" ht="25.5" hidden="1" x14ac:dyDescent="0.75"/>
    <row r="14" spans="1:5" ht="25.5" hidden="1" x14ac:dyDescent="0.75"/>
    <row r="15" spans="1:5" ht="25.5" hidden="1" x14ac:dyDescent="0.75"/>
    <row r="16" spans="1:5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9"/>
  <sheetViews>
    <sheetView workbookViewId="0">
      <selection activeCell="A8" sqref="A8:XFD8"/>
    </sheetView>
  </sheetViews>
  <sheetFormatPr defaultColWidth="0" defaultRowHeight="0" customHeight="1" zeroHeight="1" x14ac:dyDescent="0.75"/>
  <cols>
    <col min="1" max="1" width="6" style="1" customWidth="1"/>
    <col min="2" max="3" width="16.53125" style="1" bestFit="1" customWidth="1"/>
    <col min="4" max="4" width="20" style="1" bestFit="1" customWidth="1"/>
    <col min="5" max="5" width="19.86328125" style="1" bestFit="1" customWidth="1"/>
    <col min="6" max="28" width="9.1328125" style="1" hidden="1" customWidth="1"/>
    <col min="29" max="16384" width="9.1328125" style="1" hidden="1"/>
  </cols>
  <sheetData>
    <row r="1" spans="1:5" ht="86.25" customHeight="1" thickBot="1" x14ac:dyDescent="0.8">
      <c r="A1" s="40" t="s">
        <v>33</v>
      </c>
      <c r="B1" s="41"/>
      <c r="C1" s="41"/>
      <c r="D1" s="41"/>
      <c r="E1" s="45"/>
    </row>
    <row r="2" spans="1:5" ht="28.9" x14ac:dyDescent="0.95">
      <c r="A2" s="6" t="s">
        <v>0</v>
      </c>
      <c r="B2" s="9" t="s">
        <v>3</v>
      </c>
      <c r="C2" s="9" t="s">
        <v>4</v>
      </c>
      <c r="D2" s="9" t="s">
        <v>22</v>
      </c>
      <c r="E2" s="10" t="s">
        <v>23</v>
      </c>
    </row>
    <row r="3" spans="1:5" ht="25.5" x14ac:dyDescent="0.75">
      <c r="A3" s="7">
        <v>0</v>
      </c>
      <c r="B3" s="2">
        <v>0</v>
      </c>
      <c r="C3" s="2">
        <f t="shared" ref="C3:C8" si="0">EXP(-B3)-B3</f>
        <v>1</v>
      </c>
      <c r="D3" s="18" t="s">
        <v>6</v>
      </c>
      <c r="E3" s="13" t="s">
        <v>6</v>
      </c>
    </row>
    <row r="4" spans="1:5" ht="25.5" x14ac:dyDescent="0.75">
      <c r="A4" s="7">
        <v>1</v>
      </c>
      <c r="B4" s="2">
        <v>1</v>
      </c>
      <c r="C4" s="2">
        <f t="shared" si="0"/>
        <v>-0.63212055882855767</v>
      </c>
      <c r="D4" s="18" t="s">
        <v>6</v>
      </c>
      <c r="E4" s="13" t="s">
        <v>6</v>
      </c>
    </row>
    <row r="5" spans="1:5" ht="25.5" x14ac:dyDescent="0.75">
      <c r="A5" s="7">
        <v>2</v>
      </c>
      <c r="B5" s="2">
        <f>B4-(C4*(B3-B4))/(C3-C4)</f>
        <v>0.61269983678028206</v>
      </c>
      <c r="C5" s="2">
        <f t="shared" si="0"/>
        <v>-7.0813947873170968E-2</v>
      </c>
      <c r="D5" s="12">
        <f xml:space="preserve"> 100*ABS(B5-0.5671432)/0.5671432</f>
        <v>8.0326515032327119</v>
      </c>
      <c r="E5" s="14">
        <f>100*ABS(B5-B4)/B5</f>
        <v>63.212055882855765</v>
      </c>
    </row>
    <row r="6" spans="1:5" ht="25.5" x14ac:dyDescent="0.75">
      <c r="A6" s="7">
        <v>3</v>
      </c>
      <c r="B6" s="2">
        <f>B5-(C5*(B4-B5))/(C4-C5)</f>
        <v>0.5638383891610742</v>
      </c>
      <c r="C6" s="2">
        <f t="shared" si="0"/>
        <v>5.1823545073383936E-3</v>
      </c>
      <c r="D6" s="12">
        <f xml:space="preserve"> 100*ABS(B6-0.5671432)/0.5671432</f>
        <v>0.58271188633236792</v>
      </c>
      <c r="E6" s="14">
        <f>100*ABS(B6-B5)/B6</f>
        <v>8.6658603880995049</v>
      </c>
    </row>
    <row r="7" spans="1:5" ht="25.5" x14ac:dyDescent="0.75">
      <c r="A7" s="7">
        <v>4</v>
      </c>
      <c r="B7" s="2">
        <f>B6-(C6*(B5-B6))/(C5-C6)</f>
        <v>0.56717035841974461</v>
      </c>
      <c r="C7" s="2">
        <f t="shared" si="0"/>
        <v>-4.2419242430091764E-5</v>
      </c>
      <c r="D7" s="12">
        <f xml:space="preserve"> 100*ABS(B7-0.5671432)/0.5671432</f>
        <v>4.7886353472377085E-3</v>
      </c>
      <c r="E7" s="14">
        <f>100*ABS(B7-B6)/B7</f>
        <v>0.58747238976909388</v>
      </c>
    </row>
    <row r="8" spans="1:5" ht="25.5" x14ac:dyDescent="0.75">
      <c r="A8" s="7">
        <v>5</v>
      </c>
      <c r="B8" s="2">
        <f>B7-(C7*(B6-B7))/(C6-C7)</f>
        <v>0.56714330660496326</v>
      </c>
      <c r="C8" s="2">
        <f t="shared" si="0"/>
        <v>-2.5380166635002865E-8</v>
      </c>
      <c r="D8" s="12">
        <f xml:space="preserve"> 100*ABS(B8-0.5671432)/0.5671432</f>
        <v>1.8796833551278274E-5</v>
      </c>
      <c r="E8" s="14">
        <f>100*ABS(B8-B7)/B8</f>
        <v>4.7698376171079922E-3</v>
      </c>
    </row>
    <row r="9" spans="1:5" ht="25.5" hidden="1" x14ac:dyDescent="0.75">
      <c r="A9" s="30"/>
      <c r="B9" s="2"/>
      <c r="C9" s="2"/>
      <c r="D9" s="12"/>
      <c r="E9" s="14"/>
    </row>
    <row r="10" spans="1:5" ht="25.9" hidden="1" thickBot="1" x14ac:dyDescent="0.8">
      <c r="A10" s="31"/>
      <c r="B10" s="4"/>
      <c r="C10" s="4"/>
      <c r="D10" s="15"/>
      <c r="E10" s="16"/>
    </row>
    <row r="11" spans="1:5" ht="25.5" hidden="1" x14ac:dyDescent="0.75"/>
    <row r="12" spans="1:5" ht="25.5" hidden="1" x14ac:dyDescent="0.75"/>
    <row r="13" spans="1:5" ht="25.5" hidden="1" x14ac:dyDescent="0.75"/>
    <row r="14" spans="1:5" ht="25.5" hidden="1" x14ac:dyDescent="0.75"/>
    <row r="15" spans="1:5" ht="25.5" hidden="1" x14ac:dyDescent="0.75"/>
    <row r="16" spans="1:5" ht="25.5" hidden="1" x14ac:dyDescent="0.75"/>
    <row r="17" ht="25.5" hidden="1" x14ac:dyDescent="0.75"/>
    <row r="18" ht="25.5" hidden="1" x14ac:dyDescent="0.75"/>
    <row r="19" ht="25.5" hidden="1" x14ac:dyDescent="0.75"/>
    <row r="20" ht="25.5" hidden="1" x14ac:dyDescent="0.75"/>
    <row r="21" ht="25.5" hidden="1" x14ac:dyDescent="0.75"/>
    <row r="22" ht="25.5" hidden="1" x14ac:dyDescent="0.75"/>
    <row r="23" ht="25.5" hidden="1" x14ac:dyDescent="0.75"/>
    <row r="24" ht="25.5" hidden="1" x14ac:dyDescent="0.75"/>
    <row r="25" ht="25.5" hidden="1" x14ac:dyDescent="0.75"/>
    <row r="26" ht="25.5" hidden="1" x14ac:dyDescent="0.75"/>
    <row r="27" ht="25.5" hidden="1" x14ac:dyDescent="0.75"/>
    <row r="28" ht="25.5" hidden="1" x14ac:dyDescent="0.75"/>
    <row r="29" ht="25.5" hidden="1" x14ac:dyDescent="0.75"/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Exemplo 1</vt:lpstr>
      <vt:lpstr>Exemplo 1 (Copia)</vt:lpstr>
      <vt:lpstr>Exemplo 2</vt:lpstr>
      <vt:lpstr>Exemplo 2 (Copia)</vt:lpstr>
      <vt:lpstr>Grafico - Exemplo 2</vt:lpstr>
      <vt:lpstr>Exemplo 3</vt:lpstr>
      <vt:lpstr>Exemplo 3 (Copia)</vt:lpstr>
      <vt:lpstr>Exemplo 4</vt:lpstr>
      <vt:lpstr>Exemplo 5</vt:lpstr>
      <vt:lpstr>Exemplo 5 (Copia)</vt:lpstr>
      <vt:lpstr>Grafico - Exemplo 5</vt:lpstr>
      <vt:lpstr>Exemplo 6</vt:lpstr>
      <vt:lpstr>Exemplo 7</vt:lpstr>
      <vt:lpstr>Exemplo 7 (Cópia)</vt:lpstr>
      <vt:lpstr>Grafico - Exemplo 6</vt:lpstr>
      <vt:lpstr>Exemplo 8</vt:lpstr>
      <vt:lpstr>Exemplo 9 (2)</vt:lpstr>
      <vt:lpstr>Exemplo 9</vt:lpstr>
      <vt:lpstr>Exemplo 10 (2)</vt:lpstr>
      <vt:lpstr>Exemplo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dsdominguez</dc:creator>
  <cp:lastModifiedBy>Dany Sanchez Dominguez</cp:lastModifiedBy>
  <dcterms:created xsi:type="dcterms:W3CDTF">2014-03-22T21:10:27Z</dcterms:created>
  <dcterms:modified xsi:type="dcterms:W3CDTF">2025-03-31T01:10:21Z</dcterms:modified>
</cp:coreProperties>
</file>