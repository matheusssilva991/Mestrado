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489ce9dc246486/MN/Slides/"/>
    </mc:Choice>
  </mc:AlternateContent>
  <xr:revisionPtr revIDLastSave="243" documentId="8_{3111BCD2-2788-4869-A4E3-35A1781D10AE}" xr6:coauthVersionLast="47" xr6:coauthVersionMax="47" xr10:uidLastSave="{531418E5-9C75-4A60-9097-19B8BD5AD8CF}"/>
  <bookViews>
    <workbookView xWindow="-98" yWindow="-98" windowWidth="21795" windowHeight="12975" firstSheet="2" activeTab="6" xr2:uid="{00000000-000D-0000-FFFF-FFFF00000000}"/>
  </bookViews>
  <sheets>
    <sheet name="Exemplo 1 Sala" sheetId="5" r:id="rId1"/>
    <sheet name="Exemplo 1" sheetId="1" r:id="rId2"/>
    <sheet name="Exemplo 2 Sala" sheetId="6" r:id="rId3"/>
    <sheet name="Exemplo 2" sheetId="2" r:id="rId4"/>
    <sheet name="Exemplo 3 Sala" sheetId="7" r:id="rId5"/>
    <sheet name="Exemplo 3" sheetId="3" r:id="rId6"/>
    <sheet name="Exemplo 4 Sala" sheetId="8" r:id="rId7"/>
    <sheet name="Exemplo 4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3" i="6"/>
  <c r="H11" i="4"/>
  <c r="E3" i="4"/>
  <c r="F13" i="3"/>
  <c r="F10" i="3"/>
  <c r="K7" i="4"/>
  <c r="I5" i="4"/>
  <c r="K5" i="4" s="1"/>
  <c r="I7" i="4"/>
  <c r="I3" i="4"/>
  <c r="K3" i="4" s="1"/>
  <c r="C9" i="4"/>
  <c r="B9" i="4"/>
  <c r="H6" i="4"/>
  <c r="H7" i="4"/>
  <c r="H8" i="4"/>
  <c r="G4" i="4"/>
  <c r="G5" i="4"/>
  <c r="G6" i="4"/>
  <c r="G7" i="4"/>
  <c r="G8" i="4"/>
  <c r="G3" i="4"/>
  <c r="G9" i="4" s="1"/>
  <c r="F6" i="4"/>
  <c r="E5" i="4"/>
  <c r="F5" i="4" s="1"/>
  <c r="E6" i="4"/>
  <c r="E8" i="4"/>
  <c r="F8" i="4" s="1"/>
  <c r="F3" i="4"/>
  <c r="D4" i="4"/>
  <c r="E4" i="4" s="1"/>
  <c r="F4" i="4" s="1"/>
  <c r="D5" i="4"/>
  <c r="H5" i="4" s="1"/>
  <c r="D6" i="4"/>
  <c r="I6" i="4" s="1"/>
  <c r="K6" i="4" s="1"/>
  <c r="D7" i="4"/>
  <c r="E7" i="4" s="1"/>
  <c r="F7" i="4" s="1"/>
  <c r="D8" i="4"/>
  <c r="I8" i="4" s="1"/>
  <c r="K8" i="4" s="1"/>
  <c r="D3" i="4"/>
  <c r="D9" i="4" s="1"/>
  <c r="G5" i="3"/>
  <c r="E4" i="3"/>
  <c r="F4" i="3" s="1"/>
  <c r="E5" i="3"/>
  <c r="E8" i="3" s="1"/>
  <c r="E6" i="3"/>
  <c r="E7" i="3"/>
  <c r="E3" i="3"/>
  <c r="D4" i="3"/>
  <c r="G4" i="3" s="1"/>
  <c r="D5" i="3"/>
  <c r="F5" i="3" s="1"/>
  <c r="D6" i="3"/>
  <c r="G6" i="3" s="1"/>
  <c r="D7" i="3"/>
  <c r="G7" i="3" s="1"/>
  <c r="D3" i="3"/>
  <c r="G3" i="3" s="1"/>
  <c r="F4" i="2"/>
  <c r="F5" i="2"/>
  <c r="F6" i="2"/>
  <c r="E4" i="2"/>
  <c r="E6" i="2"/>
  <c r="E7" i="2"/>
  <c r="E8" i="2"/>
  <c r="E3" i="2"/>
  <c r="D4" i="2"/>
  <c r="D5" i="2"/>
  <c r="D6" i="2"/>
  <c r="D7" i="2"/>
  <c r="F7" i="2" s="1"/>
  <c r="D8" i="2"/>
  <c r="F8" i="2" s="1"/>
  <c r="D9" i="2"/>
  <c r="F9" i="2" s="1"/>
  <c r="D3" i="2"/>
  <c r="F3" i="2" s="1"/>
  <c r="C11" i="2"/>
  <c r="E5" i="2" s="1"/>
  <c r="E4" i="1"/>
  <c r="E10" i="1" s="1"/>
  <c r="E5" i="1"/>
  <c r="E6" i="1"/>
  <c r="E7" i="1"/>
  <c r="E8" i="1"/>
  <c r="E9" i="1"/>
  <c r="E3" i="1"/>
  <c r="D4" i="1"/>
  <c r="D10" i="1" s="1"/>
  <c r="C12" i="1" s="1"/>
  <c r="D5" i="1"/>
  <c r="D6" i="1"/>
  <c r="D7" i="1"/>
  <c r="D8" i="1"/>
  <c r="D9" i="1"/>
  <c r="D3" i="1"/>
  <c r="C10" i="1"/>
  <c r="B10" i="1"/>
  <c r="J4" i="4" l="1"/>
  <c r="J5" i="4"/>
  <c r="J8" i="4"/>
  <c r="J3" i="4"/>
  <c r="J6" i="4"/>
  <c r="J7" i="4"/>
  <c r="E10" i="2"/>
  <c r="C12" i="2" s="1"/>
  <c r="C13" i="1"/>
  <c r="K9" i="4"/>
  <c r="H13" i="4" s="1"/>
  <c r="F10" i="2"/>
  <c r="C13" i="2" s="1"/>
  <c r="E9" i="2"/>
  <c r="H3" i="4"/>
  <c r="I4" i="4"/>
  <c r="K4" i="4" s="1"/>
  <c r="F3" i="3"/>
  <c r="H4" i="4"/>
  <c r="H9" i="4" s="1"/>
  <c r="F9" i="4"/>
  <c r="E9" i="4"/>
  <c r="G8" i="3"/>
  <c r="F7" i="3"/>
  <c r="F6" i="3"/>
  <c r="D8" i="3"/>
  <c r="C14" i="2" l="1"/>
  <c r="C15" i="2" s="1"/>
  <c r="F8" i="3"/>
  <c r="J9" i="4"/>
  <c r="H12" i="4" l="1"/>
  <c r="H14" i="4"/>
  <c r="H15" i="4" s="1"/>
  <c r="F11" i="3"/>
  <c r="F14" i="3"/>
</calcChain>
</file>

<file path=xl/sharedStrings.xml><?xml version="1.0" encoding="utf-8"?>
<sst xmlns="http://schemas.openxmlformats.org/spreadsheetml/2006/main" count="104" uniqueCount="33">
  <si>
    <t>xi</t>
  </si>
  <si>
    <t>yi</t>
  </si>
  <si>
    <t>xi * yi</t>
  </si>
  <si>
    <t>xi^2</t>
  </si>
  <si>
    <t>i</t>
  </si>
  <si>
    <t>a1</t>
  </si>
  <si>
    <t>a0</t>
  </si>
  <si>
    <t>Exemplo 1
Ajuste de uma reta - regressão linear simples</t>
  </si>
  <si>
    <t>Exemplo 2
Ajuste de uma reta - coeficiente de correlação</t>
  </si>
  <si>
    <t>yi-reg</t>
  </si>
  <si>
    <t>y-media</t>
  </si>
  <si>
    <t>ei-med</t>
  </si>
  <si>
    <t>ei-reg</t>
  </si>
  <si>
    <t>St</t>
  </si>
  <si>
    <t>Sr</t>
  </si>
  <si>
    <t>r^2</t>
  </si>
  <si>
    <t>r</t>
  </si>
  <si>
    <t>log(xi)</t>
  </si>
  <si>
    <t>log(yi)</t>
  </si>
  <si>
    <t>log(xi)*log(yi)</t>
  </si>
  <si>
    <t>log(xi)^2</t>
  </si>
  <si>
    <t>alfa</t>
  </si>
  <si>
    <t>beta</t>
  </si>
  <si>
    <t>Exemplo 3
Regressão linear no modelo da potencia</t>
  </si>
  <si>
    <t>xi^3</t>
  </si>
  <si>
    <t>xi^4</t>
  </si>
  <si>
    <t>yi*xi</t>
  </si>
  <si>
    <t>yi*xi^2</t>
  </si>
  <si>
    <t>a2</t>
  </si>
  <si>
    <t>ei-media</t>
  </si>
  <si>
    <t>yi-regre</t>
  </si>
  <si>
    <t>ei-regre</t>
  </si>
  <si>
    <t>Exemplo 4
Regressão polinomial - polinomio de grau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</si>
</sst>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2" fontId="3" fillId="3" borderId="1" xfId="0" applyNumberFormat="1" applyFont="1" applyFill="1" applyBorder="1"/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/>
    <xf numFmtId="2" fontId="4" fillId="4" borderId="1" xfId="0" applyNumberFormat="1" applyFont="1" applyFill="1" applyBorder="1"/>
    <xf numFmtId="2" fontId="4" fillId="5" borderId="0" xfId="0" applyNumberFormat="1" applyFont="1" applyFill="1"/>
    <xf numFmtId="0" fontId="3" fillId="6" borderId="1" xfId="0" applyFont="1" applyFill="1" applyBorder="1"/>
    <xf numFmtId="0" fontId="3" fillId="6" borderId="1" xfId="0" applyFont="1" applyFill="1" applyBorder="1" applyAlignment="1">
      <alignment horizontal="right"/>
    </xf>
    <xf numFmtId="2" fontId="4" fillId="6" borderId="1" xfId="0" applyNumberFormat="1" applyFont="1" applyFill="1" applyBorder="1"/>
    <xf numFmtId="2" fontId="4" fillId="6" borderId="4" xfId="0" applyNumberFormat="1" applyFont="1" applyFill="1" applyBorder="1"/>
    <xf numFmtId="0" fontId="4" fillId="3" borderId="1" xfId="0" applyFont="1" applyFill="1" applyBorder="1"/>
    <xf numFmtId="164" fontId="3" fillId="3" borderId="1" xfId="0" applyNumberFormat="1" applyFont="1" applyFill="1" applyBorder="1"/>
    <xf numFmtId="0" fontId="4" fillId="6" borderId="1" xfId="0" applyFont="1" applyFill="1" applyBorder="1" applyAlignment="1">
      <alignment horizontal="right"/>
    </xf>
    <xf numFmtId="164" fontId="3" fillId="6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2" fontId="1" fillId="3" borderId="1" xfId="0" applyNumberFormat="1" applyFont="1" applyFill="1" applyBorder="1"/>
    <xf numFmtId="2" fontId="2" fillId="6" borderId="1" xfId="0" applyNumberFormat="1" applyFont="1" applyFill="1" applyBorder="1"/>
    <xf numFmtId="2" fontId="1" fillId="6" borderId="1" xfId="0" applyNumberFormat="1" applyFont="1" applyFill="1" applyBorder="1"/>
    <xf numFmtId="0" fontId="2" fillId="6" borderId="1" xfId="0" applyFont="1" applyFill="1" applyBorder="1" applyAlignment="1">
      <alignment horizontal="right"/>
    </xf>
    <xf numFmtId="0" fontId="1" fillId="6" borderId="1" xfId="0" applyFont="1" applyFill="1" applyBorder="1"/>
    <xf numFmtId="2" fontId="3" fillId="6" borderId="1" xfId="0" applyNumberFormat="1" applyFont="1" applyFill="1" applyBorder="1"/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E754-6EE6-47A0-8E17-DEB1741A9512}">
  <dimension ref="A1:E13"/>
  <sheetViews>
    <sheetView topLeftCell="A2" zoomScaleNormal="100" workbookViewId="0">
      <selection activeCell="C12" sqref="C12:C13"/>
    </sheetView>
  </sheetViews>
  <sheetFormatPr defaultColWidth="9.1328125" defaultRowHeight="28.5" x14ac:dyDescent="0.85"/>
  <cols>
    <col min="1" max="1" width="12.33203125" style="2" customWidth="1"/>
    <col min="2" max="5" width="16.6640625" style="2" customWidth="1"/>
    <col min="6" max="16384" width="9.1328125" style="2"/>
  </cols>
  <sheetData>
    <row r="1" spans="1:5" ht="66" customHeight="1" x14ac:dyDescent="0.85">
      <c r="A1" s="26" t="s">
        <v>7</v>
      </c>
      <c r="B1" s="27"/>
      <c r="C1" s="27"/>
      <c r="D1" s="27"/>
      <c r="E1" s="27"/>
    </row>
    <row r="2" spans="1:5" x14ac:dyDescent="0.85">
      <c r="A2" s="3" t="s">
        <v>4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x14ac:dyDescent="0.85">
      <c r="A3" s="4">
        <v>1</v>
      </c>
      <c r="B3" s="5">
        <v>1</v>
      </c>
      <c r="C3" s="5">
        <v>0.5</v>
      </c>
      <c r="D3" s="5"/>
      <c r="E3" s="5"/>
    </row>
    <row r="4" spans="1:5" x14ac:dyDescent="0.85">
      <c r="A4" s="4">
        <v>2</v>
      </c>
      <c r="B4" s="5">
        <v>2</v>
      </c>
      <c r="C4" s="5">
        <v>2.5</v>
      </c>
      <c r="D4" s="5"/>
      <c r="E4" s="5"/>
    </row>
    <row r="5" spans="1:5" x14ac:dyDescent="0.85">
      <c r="A5" s="4">
        <v>3</v>
      </c>
      <c r="B5" s="5">
        <v>3</v>
      </c>
      <c r="C5" s="5">
        <v>2</v>
      </c>
      <c r="D5" s="5"/>
      <c r="E5" s="5"/>
    </row>
    <row r="6" spans="1:5" x14ac:dyDescent="0.85">
      <c r="A6" s="4">
        <v>4</v>
      </c>
      <c r="B6" s="5">
        <v>4</v>
      </c>
      <c r="C6" s="5">
        <v>4</v>
      </c>
      <c r="D6" s="5"/>
      <c r="E6" s="5"/>
    </row>
    <row r="7" spans="1:5" x14ac:dyDescent="0.85">
      <c r="A7" s="4">
        <v>5</v>
      </c>
      <c r="B7" s="5">
        <v>5</v>
      </c>
      <c r="C7" s="5">
        <v>3.5</v>
      </c>
      <c r="D7" s="5"/>
      <c r="E7" s="5"/>
    </row>
    <row r="8" spans="1:5" x14ac:dyDescent="0.85">
      <c r="A8" s="4">
        <v>6</v>
      </c>
      <c r="B8" s="5">
        <v>6</v>
      </c>
      <c r="C8" s="5">
        <v>6</v>
      </c>
      <c r="D8" s="5"/>
      <c r="E8" s="5"/>
    </row>
    <row r="9" spans="1:5" x14ac:dyDescent="0.85">
      <c r="A9" s="4">
        <v>7</v>
      </c>
      <c r="B9" s="5">
        <v>7</v>
      </c>
      <c r="C9" s="5">
        <v>5.5</v>
      </c>
      <c r="D9" s="5"/>
      <c r="E9" s="5"/>
    </row>
    <row r="10" spans="1:5" x14ac:dyDescent="0.85">
      <c r="B10" s="8"/>
      <c r="C10" s="8"/>
      <c r="D10" s="8"/>
      <c r="E10" s="8"/>
    </row>
    <row r="12" spans="1:5" x14ac:dyDescent="0.85">
      <c r="B12" s="6" t="s">
        <v>5</v>
      </c>
      <c r="C12" s="7"/>
    </row>
    <row r="13" spans="1:5" x14ac:dyDescent="0.85">
      <c r="B13" s="6" t="s">
        <v>6</v>
      </c>
      <c r="C13" s="7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opLeftCell="A2" workbookViewId="0">
      <selection activeCell="G7" sqref="G7"/>
    </sheetView>
  </sheetViews>
  <sheetFormatPr defaultColWidth="9.1328125" defaultRowHeight="28.5" x14ac:dyDescent="0.85"/>
  <cols>
    <col min="1" max="1" width="12.33203125" style="2" customWidth="1"/>
    <col min="2" max="5" width="16.6640625" style="2" customWidth="1"/>
    <col min="6" max="16384" width="9.1328125" style="2"/>
  </cols>
  <sheetData>
    <row r="1" spans="1:5" ht="66" customHeight="1" x14ac:dyDescent="0.85">
      <c r="A1" s="26" t="s">
        <v>7</v>
      </c>
      <c r="B1" s="27"/>
      <c r="C1" s="27"/>
      <c r="D1" s="27"/>
      <c r="E1" s="27"/>
    </row>
    <row r="2" spans="1:5" x14ac:dyDescent="0.85">
      <c r="A2" s="3" t="s">
        <v>4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x14ac:dyDescent="0.85">
      <c r="A3" s="4">
        <v>1</v>
      </c>
      <c r="B3" s="5">
        <v>1</v>
      </c>
      <c r="C3" s="5">
        <v>0.5</v>
      </c>
      <c r="D3" s="5">
        <f>B3*C3</f>
        <v>0.5</v>
      </c>
      <c r="E3" s="5">
        <f>B3*B3</f>
        <v>1</v>
      </c>
    </row>
    <row r="4" spans="1:5" x14ac:dyDescent="0.85">
      <c r="A4" s="4">
        <v>2</v>
      </c>
      <c r="B4" s="5">
        <v>2</v>
      </c>
      <c r="C4" s="5">
        <v>2.5</v>
      </c>
      <c r="D4" s="5">
        <f t="shared" ref="D4:D9" si="0">B4*C4</f>
        <v>5</v>
      </c>
      <c r="E4" s="5">
        <f t="shared" ref="E4:E9" si="1">B4*B4</f>
        <v>4</v>
      </c>
    </row>
    <row r="5" spans="1:5" x14ac:dyDescent="0.85">
      <c r="A5" s="4">
        <v>3</v>
      </c>
      <c r="B5" s="5">
        <v>3</v>
      </c>
      <c r="C5" s="5">
        <v>2</v>
      </c>
      <c r="D5" s="5">
        <f t="shared" si="0"/>
        <v>6</v>
      </c>
      <c r="E5" s="5">
        <f t="shared" si="1"/>
        <v>9</v>
      </c>
    </row>
    <row r="6" spans="1:5" x14ac:dyDescent="0.85">
      <c r="A6" s="4">
        <v>4</v>
      </c>
      <c r="B6" s="5">
        <v>4</v>
      </c>
      <c r="C6" s="5">
        <v>4</v>
      </c>
      <c r="D6" s="5">
        <f t="shared" si="0"/>
        <v>16</v>
      </c>
      <c r="E6" s="5">
        <f t="shared" si="1"/>
        <v>16</v>
      </c>
    </row>
    <row r="7" spans="1:5" x14ac:dyDescent="0.85">
      <c r="A7" s="4">
        <v>5</v>
      </c>
      <c r="B7" s="5">
        <v>5</v>
      </c>
      <c r="C7" s="5">
        <v>3.5</v>
      </c>
      <c r="D7" s="5">
        <f t="shared" si="0"/>
        <v>17.5</v>
      </c>
      <c r="E7" s="5">
        <f t="shared" si="1"/>
        <v>25</v>
      </c>
    </row>
    <row r="8" spans="1:5" x14ac:dyDescent="0.85">
      <c r="A8" s="4">
        <v>6</v>
      </c>
      <c r="B8" s="5">
        <v>6</v>
      </c>
      <c r="C8" s="5">
        <v>6</v>
      </c>
      <c r="D8" s="5">
        <f t="shared" si="0"/>
        <v>36</v>
      </c>
      <c r="E8" s="5">
        <f t="shared" si="1"/>
        <v>36</v>
      </c>
    </row>
    <row r="9" spans="1:5" x14ac:dyDescent="0.85">
      <c r="A9" s="4">
        <v>7</v>
      </c>
      <c r="B9" s="5">
        <v>7</v>
      </c>
      <c r="C9" s="5">
        <v>5.5</v>
      </c>
      <c r="D9" s="5">
        <f t="shared" si="0"/>
        <v>38.5</v>
      </c>
      <c r="E9" s="5">
        <f t="shared" si="1"/>
        <v>49</v>
      </c>
    </row>
    <row r="10" spans="1:5" x14ac:dyDescent="0.85">
      <c r="B10" s="8">
        <f>SUM(B3:B9)</f>
        <v>28</v>
      </c>
      <c r="C10" s="8">
        <f>SUM(C3:C9)</f>
        <v>24</v>
      </c>
      <c r="D10" s="8">
        <f>SUM(D3:D9)</f>
        <v>119.5</v>
      </c>
      <c r="E10" s="8">
        <f>SUM(E3:E9)</f>
        <v>140</v>
      </c>
    </row>
    <row r="12" spans="1:5" x14ac:dyDescent="0.85">
      <c r="B12" s="6" t="s">
        <v>5</v>
      </c>
      <c r="C12" s="7">
        <f>(7*D10-(B10*C10))/(7*E10-B10*B10)</f>
        <v>0.8392857142857143</v>
      </c>
    </row>
    <row r="13" spans="1:5" x14ac:dyDescent="0.85">
      <c r="B13" s="6" t="s">
        <v>6</v>
      </c>
      <c r="C13" s="7">
        <f>(C10-C12*B10)/7</f>
        <v>7.1428571428571425E-2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D0B5-5E40-4145-85C5-4263CDE31ED4}">
  <dimension ref="A1:F15"/>
  <sheetViews>
    <sheetView topLeftCell="A5" workbookViewId="0">
      <selection activeCell="D14" sqref="D14"/>
    </sheetView>
  </sheetViews>
  <sheetFormatPr defaultColWidth="9.1328125" defaultRowHeight="28.5" x14ac:dyDescent="0.85"/>
  <cols>
    <col min="1" max="1" width="12.33203125" style="2" customWidth="1"/>
    <col min="2" max="6" width="16.6640625" style="2" customWidth="1"/>
    <col min="7" max="16384" width="9.1328125" style="2"/>
  </cols>
  <sheetData>
    <row r="1" spans="1:6" ht="66" customHeight="1" x14ac:dyDescent="0.85">
      <c r="A1" s="28" t="s">
        <v>8</v>
      </c>
      <c r="B1" s="29"/>
      <c r="C1" s="29"/>
      <c r="D1" s="29"/>
      <c r="E1" s="29"/>
      <c r="F1" s="29"/>
    </row>
    <row r="2" spans="1:6" x14ac:dyDescent="0.85">
      <c r="A2" s="3" t="s">
        <v>4</v>
      </c>
      <c r="B2" s="3" t="s">
        <v>0</v>
      </c>
      <c r="C2" s="3" t="s">
        <v>1</v>
      </c>
      <c r="D2" s="3" t="s">
        <v>9</v>
      </c>
      <c r="E2" s="3" t="s">
        <v>11</v>
      </c>
      <c r="F2" s="3" t="s">
        <v>12</v>
      </c>
    </row>
    <row r="3" spans="1:6" x14ac:dyDescent="0.85">
      <c r="A3" s="4">
        <v>1</v>
      </c>
      <c r="B3" s="5">
        <v>1</v>
      </c>
      <c r="C3" s="5">
        <v>0.5</v>
      </c>
      <c r="D3" s="5">
        <f>0.83929*B3+0.07143</f>
        <v>0.91071999999999997</v>
      </c>
      <c r="E3" s="5"/>
      <c r="F3" s="5"/>
    </row>
    <row r="4" spans="1:6" x14ac:dyDescent="0.85">
      <c r="A4" s="4">
        <v>2</v>
      </c>
      <c r="B4" s="5">
        <v>2</v>
      </c>
      <c r="C4" s="5">
        <v>2.5</v>
      </c>
      <c r="D4" s="5">
        <f t="shared" ref="D4:D9" si="0">0.83929*B4+0.07143</f>
        <v>1.7500100000000001</v>
      </c>
      <c r="E4" s="5"/>
      <c r="F4" s="5"/>
    </row>
    <row r="5" spans="1:6" x14ac:dyDescent="0.85">
      <c r="A5" s="4">
        <v>3</v>
      </c>
      <c r="B5" s="5">
        <v>3</v>
      </c>
      <c r="C5" s="5">
        <v>2</v>
      </c>
      <c r="D5" s="5">
        <f t="shared" si="0"/>
        <v>2.5892999999999997</v>
      </c>
      <c r="E5" s="5"/>
      <c r="F5" s="5"/>
    </row>
    <row r="6" spans="1:6" x14ac:dyDescent="0.85">
      <c r="A6" s="4">
        <v>4</v>
      </c>
      <c r="B6" s="5">
        <v>4</v>
      </c>
      <c r="C6" s="5">
        <v>4</v>
      </c>
      <c r="D6" s="5">
        <f t="shared" si="0"/>
        <v>3.4285899999999998</v>
      </c>
      <c r="E6" s="5"/>
      <c r="F6" s="5"/>
    </row>
    <row r="7" spans="1:6" x14ac:dyDescent="0.85">
      <c r="A7" s="4">
        <v>5</v>
      </c>
      <c r="B7" s="5">
        <v>5</v>
      </c>
      <c r="C7" s="5">
        <v>3.5</v>
      </c>
      <c r="D7" s="5">
        <f t="shared" si="0"/>
        <v>4.2678799999999999</v>
      </c>
      <c r="E7" s="5"/>
      <c r="F7" s="5"/>
    </row>
    <row r="8" spans="1:6" x14ac:dyDescent="0.85">
      <c r="A8" s="4">
        <v>6</v>
      </c>
      <c r="B8" s="5">
        <v>6</v>
      </c>
      <c r="C8" s="5">
        <v>6</v>
      </c>
      <c r="D8" s="5">
        <f t="shared" si="0"/>
        <v>5.10717</v>
      </c>
      <c r="E8" s="5"/>
      <c r="F8" s="5"/>
    </row>
    <row r="9" spans="1:6" x14ac:dyDescent="0.85">
      <c r="A9" s="4">
        <v>7</v>
      </c>
      <c r="B9" s="5">
        <v>7</v>
      </c>
      <c r="C9" s="5">
        <v>5.5</v>
      </c>
      <c r="D9" s="5">
        <f t="shared" si="0"/>
        <v>5.9464600000000001</v>
      </c>
      <c r="E9" s="5"/>
      <c r="F9" s="5"/>
    </row>
    <row r="10" spans="1:6" x14ac:dyDescent="0.85">
      <c r="B10" s="9"/>
      <c r="C10" s="9"/>
      <c r="D10" s="9"/>
      <c r="E10" s="13"/>
      <c r="F10" s="13"/>
    </row>
    <row r="11" spans="1:6" x14ac:dyDescent="0.85">
      <c r="B11" s="10" t="s">
        <v>10</v>
      </c>
      <c r="C11" s="10"/>
    </row>
    <row r="12" spans="1:6" x14ac:dyDescent="0.85">
      <c r="B12" s="11" t="s">
        <v>13</v>
      </c>
      <c r="C12" s="25"/>
    </row>
    <row r="13" spans="1:6" x14ac:dyDescent="0.85">
      <c r="B13" s="11" t="s">
        <v>14</v>
      </c>
      <c r="C13" s="25"/>
    </row>
    <row r="14" spans="1:6" x14ac:dyDescent="0.85">
      <c r="B14" s="11" t="s">
        <v>15</v>
      </c>
      <c r="C14" s="10"/>
    </row>
    <row r="15" spans="1:6" x14ac:dyDescent="0.85">
      <c r="B15" s="11" t="s">
        <v>16</v>
      </c>
      <c r="C15" s="10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E15" sqref="E15"/>
    </sheetView>
  </sheetViews>
  <sheetFormatPr defaultColWidth="9.1328125" defaultRowHeight="28.5" x14ac:dyDescent="0.85"/>
  <cols>
    <col min="1" max="1" width="12.33203125" style="2" customWidth="1"/>
    <col min="2" max="6" width="16.6640625" style="2" customWidth="1"/>
    <col min="7" max="16384" width="9.1328125" style="2"/>
  </cols>
  <sheetData>
    <row r="1" spans="1:6" ht="66" customHeight="1" x14ac:dyDescent="0.85">
      <c r="A1" s="28" t="s">
        <v>8</v>
      </c>
      <c r="B1" s="29"/>
      <c r="C1" s="29"/>
      <c r="D1" s="29"/>
      <c r="E1" s="29"/>
      <c r="F1" s="29"/>
    </row>
    <row r="2" spans="1:6" x14ac:dyDescent="0.85">
      <c r="A2" s="3" t="s">
        <v>4</v>
      </c>
      <c r="B2" s="3" t="s">
        <v>0</v>
      </c>
      <c r="C2" s="3" t="s">
        <v>1</v>
      </c>
      <c r="D2" s="3" t="s">
        <v>9</v>
      </c>
      <c r="E2" s="3" t="s">
        <v>11</v>
      </c>
      <c r="F2" s="3" t="s">
        <v>12</v>
      </c>
    </row>
    <row r="3" spans="1:6" x14ac:dyDescent="0.85">
      <c r="A3" s="4">
        <v>1</v>
      </c>
      <c r="B3" s="5">
        <v>1</v>
      </c>
      <c r="C3" s="5">
        <v>0.5</v>
      </c>
      <c r="D3" s="5">
        <f>0.07143+0.83929*B3</f>
        <v>0.91071999999999997</v>
      </c>
      <c r="E3" s="5">
        <f>(C3-$C$11)*(C3-$C$11)</f>
        <v>8.5765306122448965</v>
      </c>
      <c r="F3" s="5">
        <f>(C3-D3)*(C3-D3)</f>
        <v>0.16869091839999997</v>
      </c>
    </row>
    <row r="4" spans="1:6" x14ac:dyDescent="0.85">
      <c r="A4" s="4">
        <v>2</v>
      </c>
      <c r="B4" s="5">
        <v>2</v>
      </c>
      <c r="C4" s="5">
        <v>2.5</v>
      </c>
      <c r="D4" s="5">
        <f t="shared" ref="D4:D9" si="0">0.07143+0.83929*B4</f>
        <v>1.7500100000000001</v>
      </c>
      <c r="E4" s="5">
        <f t="shared" ref="E4:E9" si="1">(C4-$C$11)*(C4-$C$11)</f>
        <v>0.86224489795918335</v>
      </c>
      <c r="F4" s="5">
        <f t="shared" ref="F4:F9" si="2">(C4-D4)*(C4-D4)</f>
        <v>0.56248500009999991</v>
      </c>
    </row>
    <row r="5" spans="1:6" x14ac:dyDescent="0.85">
      <c r="A5" s="4">
        <v>3</v>
      </c>
      <c r="B5" s="5">
        <v>3</v>
      </c>
      <c r="C5" s="5">
        <v>2</v>
      </c>
      <c r="D5" s="5">
        <f t="shared" si="0"/>
        <v>2.5892999999999997</v>
      </c>
      <c r="E5" s="5">
        <f t="shared" si="1"/>
        <v>2.0408163265306118</v>
      </c>
      <c r="F5" s="5">
        <f t="shared" si="2"/>
        <v>0.34727448999999966</v>
      </c>
    </row>
    <row r="6" spans="1:6" x14ac:dyDescent="0.85">
      <c r="A6" s="4">
        <v>4</v>
      </c>
      <c r="B6" s="5">
        <v>4</v>
      </c>
      <c r="C6" s="5">
        <v>4</v>
      </c>
      <c r="D6" s="5">
        <f t="shared" si="0"/>
        <v>3.4285899999999998</v>
      </c>
      <c r="E6" s="5">
        <f t="shared" si="1"/>
        <v>0.32653061224489816</v>
      </c>
      <c r="F6" s="5">
        <f t="shared" si="2"/>
        <v>0.32650938810000024</v>
      </c>
    </row>
    <row r="7" spans="1:6" x14ac:dyDescent="0.85">
      <c r="A7" s="4">
        <v>5</v>
      </c>
      <c r="B7" s="5">
        <v>5</v>
      </c>
      <c r="C7" s="5">
        <v>3.5</v>
      </c>
      <c r="D7" s="5">
        <f t="shared" si="0"/>
        <v>4.2678799999999999</v>
      </c>
      <c r="E7" s="5">
        <f t="shared" si="1"/>
        <v>5.102040816326558E-3</v>
      </c>
      <c r="F7" s="5">
        <f t="shared" si="2"/>
        <v>0.58963969439999986</v>
      </c>
    </row>
    <row r="8" spans="1:6" x14ac:dyDescent="0.85">
      <c r="A8" s="4">
        <v>6</v>
      </c>
      <c r="B8" s="5">
        <v>6</v>
      </c>
      <c r="C8" s="5">
        <v>6</v>
      </c>
      <c r="D8" s="5">
        <f t="shared" si="0"/>
        <v>5.10717</v>
      </c>
      <c r="E8" s="5">
        <f t="shared" si="1"/>
        <v>6.6122448979591848</v>
      </c>
      <c r="F8" s="5">
        <f t="shared" si="2"/>
        <v>0.79714540890000007</v>
      </c>
    </row>
    <row r="9" spans="1:6" x14ac:dyDescent="0.85">
      <c r="A9" s="4">
        <v>7</v>
      </c>
      <c r="B9" s="5">
        <v>7</v>
      </c>
      <c r="C9" s="5">
        <v>5.5</v>
      </c>
      <c r="D9" s="5">
        <f t="shared" si="0"/>
        <v>5.9464600000000001</v>
      </c>
      <c r="E9" s="5">
        <f t="shared" si="1"/>
        <v>4.2908163265306127</v>
      </c>
      <c r="F9" s="5">
        <f t="shared" si="2"/>
        <v>0.19932653160000008</v>
      </c>
    </row>
    <row r="10" spans="1:6" x14ac:dyDescent="0.85">
      <c r="B10" s="9"/>
      <c r="C10" s="9"/>
      <c r="D10" s="9"/>
      <c r="E10" s="13">
        <f>SUM(E3:E9)</f>
        <v>22.714285714285715</v>
      </c>
      <c r="F10" s="13">
        <f>SUM(F3:F9)</f>
        <v>2.9910714315</v>
      </c>
    </row>
    <row r="11" spans="1:6" x14ac:dyDescent="0.85">
      <c r="B11" s="10" t="s">
        <v>10</v>
      </c>
      <c r="C11" s="10">
        <f>SUM(C3:C9)/7</f>
        <v>3.4285714285714284</v>
      </c>
    </row>
    <row r="12" spans="1:6" x14ac:dyDescent="0.85">
      <c r="B12" s="11" t="s">
        <v>13</v>
      </c>
      <c r="C12" s="10">
        <f>E10</f>
        <v>22.714285714285715</v>
      </c>
    </row>
    <row r="13" spans="1:6" x14ac:dyDescent="0.85">
      <c r="B13" s="11" t="s">
        <v>14</v>
      </c>
      <c r="C13" s="10">
        <f>F10</f>
        <v>2.9910714315</v>
      </c>
    </row>
    <row r="14" spans="1:6" x14ac:dyDescent="0.85">
      <c r="B14" s="11" t="s">
        <v>15</v>
      </c>
      <c r="C14" s="10">
        <f>(C12-C13)/C12</f>
        <v>0.86831760993396223</v>
      </c>
    </row>
    <row r="15" spans="1:6" x14ac:dyDescent="0.85">
      <c r="B15" s="11" t="s">
        <v>16</v>
      </c>
      <c r="C15" s="10">
        <f>SQRT(C14)</f>
        <v>0.93183561314963825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DF5D-F629-4920-AA3E-BF06AE611B4E}">
  <dimension ref="A1:G14"/>
  <sheetViews>
    <sheetView zoomScale="85" zoomScaleNormal="85" workbookViewId="0">
      <selection activeCell="H13" sqref="H13"/>
    </sheetView>
  </sheetViews>
  <sheetFormatPr defaultColWidth="9.1328125" defaultRowHeight="28.5" x14ac:dyDescent="0.85"/>
  <cols>
    <col min="1" max="1" width="7.46484375" style="2" customWidth="1"/>
    <col min="2" max="3" width="9.6640625" style="2" bestFit="1" customWidth="1"/>
    <col min="4" max="4" width="12.33203125" style="2" bestFit="1" customWidth="1"/>
    <col min="5" max="5" width="13.796875" style="2" bestFit="1" customWidth="1"/>
    <col min="6" max="6" width="25.53125" style="2" bestFit="1" customWidth="1"/>
    <col min="7" max="7" width="16.53125" style="2" bestFit="1" customWidth="1"/>
    <col min="8" max="16384" width="9.1328125" style="2"/>
  </cols>
  <sheetData>
    <row r="1" spans="1:7" ht="60.75" customHeight="1" x14ac:dyDescent="0.85">
      <c r="A1" s="26" t="s">
        <v>23</v>
      </c>
      <c r="B1" s="27"/>
      <c r="C1" s="27"/>
      <c r="D1" s="27"/>
      <c r="E1" s="27"/>
      <c r="F1" s="27"/>
      <c r="G1" s="27"/>
    </row>
    <row r="2" spans="1:7" x14ac:dyDescent="0.85">
      <c r="A2" s="14" t="s">
        <v>4</v>
      </c>
      <c r="B2" s="14" t="s">
        <v>0</v>
      </c>
      <c r="C2" s="14" t="s">
        <v>1</v>
      </c>
      <c r="D2" s="14" t="s">
        <v>17</v>
      </c>
      <c r="E2" s="14" t="s">
        <v>18</v>
      </c>
      <c r="F2" s="14" t="s">
        <v>19</v>
      </c>
      <c r="G2" s="14" t="s">
        <v>20</v>
      </c>
    </row>
    <row r="3" spans="1:7" x14ac:dyDescent="0.85">
      <c r="A3" s="4">
        <v>1</v>
      </c>
      <c r="B3" s="5">
        <v>1</v>
      </c>
      <c r="C3" s="5">
        <v>0.5</v>
      </c>
      <c r="D3" s="5"/>
      <c r="E3" s="5"/>
      <c r="F3" s="15"/>
      <c r="G3" s="15"/>
    </row>
    <row r="4" spans="1:7" x14ac:dyDescent="0.85">
      <c r="A4" s="4">
        <v>2</v>
      </c>
      <c r="B4" s="5">
        <v>2</v>
      </c>
      <c r="C4" s="5">
        <v>1.7</v>
      </c>
      <c r="D4" s="5"/>
      <c r="E4" s="5"/>
      <c r="F4" s="15"/>
      <c r="G4" s="15"/>
    </row>
    <row r="5" spans="1:7" x14ac:dyDescent="0.85">
      <c r="A5" s="4">
        <v>3</v>
      </c>
      <c r="B5" s="5">
        <v>3</v>
      </c>
      <c r="C5" s="5">
        <v>3.4</v>
      </c>
      <c r="D5" s="5"/>
      <c r="E5" s="5"/>
      <c r="F5" s="15"/>
      <c r="G5" s="15"/>
    </row>
    <row r="6" spans="1:7" x14ac:dyDescent="0.85">
      <c r="A6" s="4">
        <v>4</v>
      </c>
      <c r="B6" s="5">
        <v>4</v>
      </c>
      <c r="C6" s="5">
        <v>5.7</v>
      </c>
      <c r="D6" s="5"/>
      <c r="E6" s="5"/>
      <c r="F6" s="15"/>
      <c r="G6" s="15"/>
    </row>
    <row r="7" spans="1:7" x14ac:dyDescent="0.85">
      <c r="A7" s="4">
        <v>5</v>
      </c>
      <c r="B7" s="5">
        <v>5</v>
      </c>
      <c r="C7" s="5">
        <v>8.4</v>
      </c>
      <c r="D7" s="5"/>
      <c r="E7" s="5"/>
      <c r="F7" s="15"/>
      <c r="G7" s="15"/>
    </row>
    <row r="8" spans="1:7" x14ac:dyDescent="0.85">
      <c r="D8" s="12"/>
      <c r="E8" s="12"/>
      <c r="F8" s="12"/>
      <c r="G8" s="12"/>
    </row>
    <row r="10" spans="1:7" x14ac:dyDescent="0.85">
      <c r="E10" s="16" t="s">
        <v>5</v>
      </c>
      <c r="F10" s="17"/>
    </row>
    <row r="11" spans="1:7" x14ac:dyDescent="0.85">
      <c r="E11" s="16" t="s">
        <v>6</v>
      </c>
      <c r="F11" s="17"/>
    </row>
    <row r="13" spans="1:7" x14ac:dyDescent="0.85">
      <c r="E13" s="16" t="s">
        <v>21</v>
      </c>
      <c r="F13" s="17"/>
    </row>
    <row r="14" spans="1:7" x14ac:dyDescent="0.85">
      <c r="E14" s="16" t="s">
        <v>22</v>
      </c>
      <c r="F14" s="17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F13" sqref="F13"/>
    </sheetView>
  </sheetViews>
  <sheetFormatPr defaultColWidth="9.1328125" defaultRowHeight="28.5" x14ac:dyDescent="0.85"/>
  <cols>
    <col min="1" max="1" width="7.46484375" style="2" customWidth="1"/>
    <col min="2" max="3" width="9.6640625" style="2" bestFit="1" customWidth="1"/>
    <col min="4" max="4" width="12.33203125" style="2" bestFit="1" customWidth="1"/>
    <col min="5" max="5" width="12.46484375" style="2" bestFit="1" customWidth="1"/>
    <col min="6" max="6" width="25.53125" style="2" bestFit="1" customWidth="1"/>
    <col min="7" max="7" width="16.53125" style="2" bestFit="1" customWidth="1"/>
    <col min="8" max="16384" width="9.1328125" style="2"/>
  </cols>
  <sheetData>
    <row r="1" spans="1:7" ht="60.75" customHeight="1" x14ac:dyDescent="0.85">
      <c r="A1" s="26" t="s">
        <v>23</v>
      </c>
      <c r="B1" s="27"/>
      <c r="C1" s="27"/>
      <c r="D1" s="27"/>
      <c r="E1" s="27"/>
      <c r="F1" s="27"/>
      <c r="G1" s="27"/>
    </row>
    <row r="2" spans="1:7" x14ac:dyDescent="0.85">
      <c r="A2" s="14" t="s">
        <v>4</v>
      </c>
      <c r="B2" s="14" t="s">
        <v>0</v>
      </c>
      <c r="C2" s="14" t="s">
        <v>1</v>
      </c>
      <c r="D2" s="14" t="s">
        <v>17</v>
      </c>
      <c r="E2" s="14" t="s">
        <v>18</v>
      </c>
      <c r="F2" s="14" t="s">
        <v>19</v>
      </c>
      <c r="G2" s="14" t="s">
        <v>20</v>
      </c>
    </row>
    <row r="3" spans="1:7" x14ac:dyDescent="0.85">
      <c r="A3" s="4">
        <v>1</v>
      </c>
      <c r="B3" s="5">
        <v>1</v>
      </c>
      <c r="C3" s="5">
        <v>0.5</v>
      </c>
      <c r="D3" s="5">
        <f>LOG10(B3)</f>
        <v>0</v>
      </c>
      <c r="E3" s="5">
        <f>LOG10(C3)</f>
        <v>-0.3010299956639812</v>
      </c>
      <c r="F3" s="15">
        <f>D3*E3</f>
        <v>0</v>
      </c>
      <c r="G3" s="15">
        <f>D3*D3</f>
        <v>0</v>
      </c>
    </row>
    <row r="4" spans="1:7" x14ac:dyDescent="0.85">
      <c r="A4" s="4">
        <v>2</v>
      </c>
      <c r="B4" s="5">
        <v>2</v>
      </c>
      <c r="C4" s="5">
        <v>1.7</v>
      </c>
      <c r="D4" s="5">
        <f t="shared" ref="D4:D7" si="0">LOG10(B4)</f>
        <v>0.3010299956639812</v>
      </c>
      <c r="E4" s="5">
        <f t="shared" ref="E4:E7" si="1">LOG10(C4)</f>
        <v>0.23044892137827391</v>
      </c>
      <c r="F4" s="15">
        <f t="shared" ref="F4:F7" si="2">D4*E4</f>
        <v>6.9372037803270933E-2</v>
      </c>
      <c r="G4" s="15">
        <f t="shared" ref="G4:G7" si="3">D4*D4</f>
        <v>9.0619058289456544E-2</v>
      </c>
    </row>
    <row r="5" spans="1:7" x14ac:dyDescent="0.85">
      <c r="A5" s="4">
        <v>3</v>
      </c>
      <c r="B5" s="5">
        <v>3</v>
      </c>
      <c r="C5" s="5">
        <v>3.4</v>
      </c>
      <c r="D5" s="5">
        <f t="shared" si="0"/>
        <v>0.47712125471966244</v>
      </c>
      <c r="E5" s="5">
        <f t="shared" si="1"/>
        <v>0.53147891704225514</v>
      </c>
      <c r="F5" s="15">
        <f t="shared" si="2"/>
        <v>0.25357988775624818</v>
      </c>
      <c r="G5" s="15">
        <f t="shared" si="3"/>
        <v>0.227644691705265</v>
      </c>
    </row>
    <row r="6" spans="1:7" x14ac:dyDescent="0.85">
      <c r="A6" s="4">
        <v>4</v>
      </c>
      <c r="B6" s="5">
        <v>4</v>
      </c>
      <c r="C6" s="5">
        <v>5.7</v>
      </c>
      <c r="D6" s="5">
        <f t="shared" si="0"/>
        <v>0.6020599913279624</v>
      </c>
      <c r="E6" s="5">
        <f t="shared" si="1"/>
        <v>0.75587485567249146</v>
      </c>
      <c r="F6" s="15">
        <f t="shared" si="2"/>
        <v>0.45508200905120505</v>
      </c>
      <c r="G6" s="15">
        <f t="shared" si="3"/>
        <v>0.36247623315782618</v>
      </c>
    </row>
    <row r="7" spans="1:7" x14ac:dyDescent="0.85">
      <c r="A7" s="4">
        <v>5</v>
      </c>
      <c r="B7" s="5">
        <v>5</v>
      </c>
      <c r="C7" s="5">
        <v>8.4</v>
      </c>
      <c r="D7" s="5">
        <f t="shared" si="0"/>
        <v>0.69897000433601886</v>
      </c>
      <c r="E7" s="5">
        <f t="shared" si="1"/>
        <v>0.9242792860618817</v>
      </c>
      <c r="F7" s="15">
        <f t="shared" si="2"/>
        <v>0.64604349658636584</v>
      </c>
      <c r="G7" s="15">
        <f t="shared" si="3"/>
        <v>0.4885590669614942</v>
      </c>
    </row>
    <row r="8" spans="1:7" x14ac:dyDescent="0.85">
      <c r="D8" s="12">
        <f>SUM(D3:D7)</f>
        <v>2.0791812460476247</v>
      </c>
      <c r="E8" s="12">
        <f t="shared" ref="E8:G8" si="4">SUM(E3:E7)</f>
        <v>2.1410519844909208</v>
      </c>
      <c r="F8" s="12">
        <f t="shared" si="4"/>
        <v>1.4240774311970901</v>
      </c>
      <c r="G8" s="12">
        <f t="shared" si="4"/>
        <v>1.1692990501140419</v>
      </c>
    </row>
    <row r="10" spans="1:7" x14ac:dyDescent="0.85">
      <c r="E10" s="16" t="s">
        <v>5</v>
      </c>
      <c r="F10" s="17">
        <f>(5*F8-D8*E8)/(5*G8-D8*D8)</f>
        <v>1.7517236480773599</v>
      </c>
    </row>
    <row r="11" spans="1:7" x14ac:dyDescent="0.85">
      <c r="E11" s="16" t="s">
        <v>6</v>
      </c>
      <c r="F11" s="17">
        <f>(E8-F10*D8)/5</f>
        <v>-0.30021979456993109</v>
      </c>
    </row>
    <row r="13" spans="1:7" x14ac:dyDescent="0.85">
      <c r="E13" s="16" t="s">
        <v>21</v>
      </c>
      <c r="F13" s="17">
        <f>10^F11</f>
        <v>0.50093364909774873</v>
      </c>
    </row>
    <row r="14" spans="1:7" x14ac:dyDescent="0.85">
      <c r="E14" s="16" t="s">
        <v>22</v>
      </c>
      <c r="F14" s="17">
        <f>F10</f>
        <v>1.7517236480773599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49AB-C8C9-43E5-9CF2-ACD04C1B8192}">
  <dimension ref="A1:K15"/>
  <sheetViews>
    <sheetView tabSelected="1" zoomScale="130" zoomScaleNormal="130" workbookViewId="0">
      <selection activeCell="C11" sqref="C11"/>
    </sheetView>
  </sheetViews>
  <sheetFormatPr defaultColWidth="9.1328125" defaultRowHeight="25.5" x14ac:dyDescent="0.75"/>
  <cols>
    <col min="1" max="1" width="9.6640625" style="1" bestFit="1" customWidth="1"/>
    <col min="2" max="2" width="10.53125" style="1" bestFit="1" customWidth="1"/>
    <col min="3" max="3" width="12.53125" style="1" bestFit="1" customWidth="1"/>
    <col min="4" max="4" width="10.53125" style="1" bestFit="1" customWidth="1"/>
    <col min="5" max="5" width="12.53125" style="1" bestFit="1" customWidth="1"/>
    <col min="6" max="6" width="15.1328125" style="1" bestFit="1" customWidth="1"/>
    <col min="7" max="7" width="14.46484375" style="1" customWidth="1"/>
    <col min="8" max="8" width="14.6640625" style="1" bestFit="1" customWidth="1"/>
    <col min="9" max="9" width="15.46484375" style="1" customWidth="1"/>
    <col min="10" max="10" width="21.796875" style="1" bestFit="1" customWidth="1"/>
    <col min="11" max="11" width="14.6640625" style="1" customWidth="1"/>
    <col min="12" max="16384" width="9.1328125" style="1"/>
  </cols>
  <sheetData>
    <row r="1" spans="1:11" ht="54.75" customHeight="1" x14ac:dyDescent="0.75">
      <c r="A1" s="30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75">
      <c r="A2" s="18" t="s">
        <v>4</v>
      </c>
      <c r="B2" s="18" t="s">
        <v>0</v>
      </c>
      <c r="C2" s="18" t="s">
        <v>1</v>
      </c>
      <c r="D2" s="18" t="s">
        <v>3</v>
      </c>
      <c r="E2" s="18" t="s">
        <v>24</v>
      </c>
      <c r="F2" s="18" t="s">
        <v>25</v>
      </c>
      <c r="G2" s="18" t="s">
        <v>26</v>
      </c>
      <c r="H2" s="18" t="s">
        <v>27</v>
      </c>
      <c r="I2" s="18" t="s">
        <v>30</v>
      </c>
      <c r="J2" s="18" t="s">
        <v>29</v>
      </c>
      <c r="K2" s="18" t="s">
        <v>31</v>
      </c>
    </row>
    <row r="3" spans="1:11" x14ac:dyDescent="0.75">
      <c r="A3" s="19">
        <v>1</v>
      </c>
      <c r="B3" s="20">
        <v>0</v>
      </c>
      <c r="C3" s="20">
        <v>2.1</v>
      </c>
      <c r="D3" s="20"/>
      <c r="E3" s="20"/>
      <c r="F3" s="20"/>
      <c r="G3" s="20"/>
      <c r="H3" s="20"/>
      <c r="I3" s="19"/>
      <c r="J3" s="20"/>
      <c r="K3" s="20"/>
    </row>
    <row r="4" spans="1:11" x14ac:dyDescent="0.75">
      <c r="A4" s="19">
        <v>2</v>
      </c>
      <c r="B4" s="20">
        <v>1</v>
      </c>
      <c r="C4" s="20">
        <v>7.7</v>
      </c>
      <c r="D4" s="20"/>
      <c r="E4" s="20"/>
      <c r="F4" s="20"/>
      <c r="G4" s="20"/>
      <c r="H4" s="20"/>
      <c r="I4" s="19"/>
      <c r="J4" s="20"/>
      <c r="K4" s="20"/>
    </row>
    <row r="5" spans="1:11" x14ac:dyDescent="0.75">
      <c r="A5" s="19">
        <v>3</v>
      </c>
      <c r="B5" s="20">
        <v>2</v>
      </c>
      <c r="C5" s="20">
        <v>13.6</v>
      </c>
      <c r="D5" s="20"/>
      <c r="E5" s="20"/>
      <c r="F5" s="20"/>
      <c r="G5" s="20"/>
      <c r="H5" s="20"/>
      <c r="I5" s="19"/>
      <c r="J5" s="20"/>
      <c r="K5" s="20"/>
    </row>
    <row r="6" spans="1:11" x14ac:dyDescent="0.75">
      <c r="A6" s="19">
        <v>4</v>
      </c>
      <c r="B6" s="20">
        <v>3</v>
      </c>
      <c r="C6" s="20">
        <v>27.2</v>
      </c>
      <c r="D6" s="20"/>
      <c r="E6" s="20"/>
      <c r="F6" s="20"/>
      <c r="G6" s="20"/>
      <c r="H6" s="20"/>
      <c r="I6" s="19"/>
      <c r="J6" s="20"/>
      <c r="K6" s="20"/>
    </row>
    <row r="7" spans="1:11" x14ac:dyDescent="0.75">
      <c r="A7" s="19">
        <v>5</v>
      </c>
      <c r="B7" s="20">
        <v>4</v>
      </c>
      <c r="C7" s="20">
        <v>40.9</v>
      </c>
      <c r="D7" s="20"/>
      <c r="E7" s="20"/>
      <c r="F7" s="20"/>
      <c r="G7" s="20"/>
      <c r="H7" s="20"/>
      <c r="I7" s="19"/>
      <c r="J7" s="20"/>
      <c r="K7" s="20"/>
    </row>
    <row r="8" spans="1:11" x14ac:dyDescent="0.75">
      <c r="A8" s="19">
        <v>6</v>
      </c>
      <c r="B8" s="20">
        <v>5</v>
      </c>
      <c r="C8" s="20">
        <v>61.1</v>
      </c>
      <c r="D8" s="20"/>
      <c r="E8" s="20"/>
      <c r="F8" s="20"/>
      <c r="G8" s="20"/>
      <c r="H8" s="20"/>
      <c r="I8" s="19"/>
      <c r="J8" s="20"/>
      <c r="K8" s="20"/>
    </row>
    <row r="9" spans="1:11" x14ac:dyDescent="0.75">
      <c r="B9" s="21"/>
      <c r="C9" s="21"/>
      <c r="D9" s="21"/>
      <c r="E9" s="21"/>
      <c r="F9" s="21"/>
      <c r="G9" s="21"/>
      <c r="H9" s="21"/>
      <c r="J9" s="21"/>
      <c r="K9" s="21"/>
    </row>
    <row r="11" spans="1:11" x14ac:dyDescent="0.75">
      <c r="D11" s="23" t="s">
        <v>6</v>
      </c>
      <c r="E11" s="24">
        <v>2.4786000000000001</v>
      </c>
      <c r="G11" s="23" t="s">
        <v>10</v>
      </c>
      <c r="H11" s="24"/>
    </row>
    <row r="12" spans="1:11" x14ac:dyDescent="0.75">
      <c r="D12" s="23" t="s">
        <v>5</v>
      </c>
      <c r="E12" s="24">
        <v>2.3593000000000002</v>
      </c>
      <c r="G12" s="23" t="s">
        <v>13</v>
      </c>
      <c r="H12" s="22"/>
    </row>
    <row r="13" spans="1:11" x14ac:dyDescent="0.75">
      <c r="D13" s="23" t="s">
        <v>28</v>
      </c>
      <c r="E13" s="24">
        <v>1.8607</v>
      </c>
      <c r="G13" s="23" t="s">
        <v>14</v>
      </c>
      <c r="H13" s="22"/>
    </row>
    <row r="14" spans="1:11" x14ac:dyDescent="0.75">
      <c r="G14" s="23" t="s">
        <v>15</v>
      </c>
      <c r="H14" s="24"/>
    </row>
    <row r="15" spans="1:11" x14ac:dyDescent="0.75">
      <c r="G15" s="23" t="s">
        <v>16</v>
      </c>
      <c r="H15" s="24"/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workbookViewId="0">
      <selection activeCell="J3" sqref="J3"/>
    </sheetView>
  </sheetViews>
  <sheetFormatPr defaultColWidth="9.1328125" defaultRowHeight="25.5" x14ac:dyDescent="0.75"/>
  <cols>
    <col min="1" max="1" width="9.6640625" style="1" bestFit="1" customWidth="1"/>
    <col min="2" max="2" width="10.53125" style="1" bestFit="1" customWidth="1"/>
    <col min="3" max="3" width="12.53125" style="1" bestFit="1" customWidth="1"/>
    <col min="4" max="4" width="10.53125" style="1" bestFit="1" customWidth="1"/>
    <col min="5" max="6" width="12.53125" style="1" bestFit="1" customWidth="1"/>
    <col min="7" max="7" width="14.46484375" style="1" customWidth="1"/>
    <col min="8" max="8" width="14.6640625" style="1" bestFit="1" customWidth="1"/>
    <col min="9" max="9" width="15.46484375" style="1" customWidth="1"/>
    <col min="10" max="10" width="16.6640625" style="1" customWidth="1"/>
    <col min="11" max="11" width="14.6640625" style="1" customWidth="1"/>
    <col min="12" max="16384" width="9.1328125" style="1"/>
  </cols>
  <sheetData>
    <row r="1" spans="1:11" ht="54.75" customHeight="1" x14ac:dyDescent="0.75">
      <c r="A1" s="30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75">
      <c r="A2" s="18" t="s">
        <v>4</v>
      </c>
      <c r="B2" s="18" t="s">
        <v>0</v>
      </c>
      <c r="C2" s="18" t="s">
        <v>1</v>
      </c>
      <c r="D2" s="18" t="s">
        <v>3</v>
      </c>
      <c r="E2" s="18" t="s">
        <v>24</v>
      </c>
      <c r="F2" s="18" t="s">
        <v>25</v>
      </c>
      <c r="G2" s="18" t="s">
        <v>26</v>
      </c>
      <c r="H2" s="18" t="s">
        <v>27</v>
      </c>
      <c r="I2" s="18" t="s">
        <v>30</v>
      </c>
      <c r="J2" s="18" t="s">
        <v>29</v>
      </c>
      <c r="K2" s="18" t="s">
        <v>31</v>
      </c>
    </row>
    <row r="3" spans="1:11" x14ac:dyDescent="0.75">
      <c r="A3" s="19">
        <v>1</v>
      </c>
      <c r="B3" s="20">
        <v>0</v>
      </c>
      <c r="C3" s="20">
        <v>2.1</v>
      </c>
      <c r="D3" s="20">
        <f>B3*B3</f>
        <v>0</v>
      </c>
      <c r="E3" s="20">
        <f>D3*B3</f>
        <v>0</v>
      </c>
      <c r="F3" s="20">
        <f>E3*B3</f>
        <v>0</v>
      </c>
      <c r="G3" s="20">
        <f>B3*C3</f>
        <v>0</v>
      </c>
      <c r="H3" s="20">
        <f>C3*D3</f>
        <v>0</v>
      </c>
      <c r="I3" s="19">
        <f>$E$11+$E$12*B3+$E$13*D3</f>
        <v>2.4785699999999999</v>
      </c>
      <c r="J3" s="20">
        <f>(C3-$H$11)*(C3-$H$11)</f>
        <v>544.44444444444434</v>
      </c>
      <c r="K3" s="20">
        <f>(C3-I3)*(C3-I3)</f>
        <v>0.14331524489999989</v>
      </c>
    </row>
    <row r="4" spans="1:11" x14ac:dyDescent="0.75">
      <c r="A4" s="19">
        <v>2</v>
      </c>
      <c r="B4" s="20">
        <v>1</v>
      </c>
      <c r="C4" s="20">
        <v>7.7</v>
      </c>
      <c r="D4" s="20">
        <f t="shared" ref="D4:D8" si="0">B4*B4</f>
        <v>1</v>
      </c>
      <c r="E4" s="20">
        <f t="shared" ref="E4:E8" si="1">D4*B4</f>
        <v>1</v>
      </c>
      <c r="F4" s="20">
        <f t="shared" ref="F4:F8" si="2">E4*B4</f>
        <v>1</v>
      </c>
      <c r="G4" s="20">
        <f t="shared" ref="G4:G8" si="3">B4*C4</f>
        <v>7.7</v>
      </c>
      <c r="H4" s="20">
        <f t="shared" ref="H4:H8" si="4">C4*D4</f>
        <v>7.7</v>
      </c>
      <c r="I4" s="19">
        <f t="shared" ref="I4:I8" si="5">$E$11+$E$12*B4+$E$13*D4</f>
        <v>6.6985700000000001</v>
      </c>
      <c r="J4" s="20">
        <f t="shared" ref="J4:J8" si="6">(C4-$H$11)*(C4-$H$11)</f>
        <v>314.47111111111116</v>
      </c>
      <c r="K4" s="20">
        <f t="shared" ref="K4:K8" si="7">(C4-I4)*(C4-I4)</f>
        <v>1.0028620449000001</v>
      </c>
    </row>
    <row r="5" spans="1:11" x14ac:dyDescent="0.75">
      <c r="A5" s="19">
        <v>3</v>
      </c>
      <c r="B5" s="20">
        <v>2</v>
      </c>
      <c r="C5" s="20">
        <v>13.6</v>
      </c>
      <c r="D5" s="20">
        <f t="shared" si="0"/>
        <v>4</v>
      </c>
      <c r="E5" s="20">
        <f t="shared" si="1"/>
        <v>8</v>
      </c>
      <c r="F5" s="20">
        <f t="shared" si="2"/>
        <v>16</v>
      </c>
      <c r="G5" s="20">
        <f t="shared" si="3"/>
        <v>27.2</v>
      </c>
      <c r="H5" s="20">
        <f t="shared" si="4"/>
        <v>54.4</v>
      </c>
      <c r="I5" s="19">
        <f t="shared" si="5"/>
        <v>14.639990000000001</v>
      </c>
      <c r="J5" s="20">
        <f t="shared" si="6"/>
        <v>140.0277777777778</v>
      </c>
      <c r="K5" s="20">
        <f t="shared" si="7"/>
        <v>1.0815792001000026</v>
      </c>
    </row>
    <row r="6" spans="1:11" x14ac:dyDescent="0.75">
      <c r="A6" s="19">
        <v>4</v>
      </c>
      <c r="B6" s="20">
        <v>3</v>
      </c>
      <c r="C6" s="20">
        <v>27.2</v>
      </c>
      <c r="D6" s="20">
        <f t="shared" si="0"/>
        <v>9</v>
      </c>
      <c r="E6" s="20">
        <f t="shared" si="1"/>
        <v>27</v>
      </c>
      <c r="F6" s="20">
        <f t="shared" si="2"/>
        <v>81</v>
      </c>
      <c r="G6" s="20">
        <f t="shared" si="3"/>
        <v>81.599999999999994</v>
      </c>
      <c r="H6" s="20">
        <f t="shared" si="4"/>
        <v>244.79999999999998</v>
      </c>
      <c r="I6" s="19">
        <f t="shared" si="5"/>
        <v>26.30283</v>
      </c>
      <c r="J6" s="20">
        <f t="shared" si="6"/>
        <v>3.1211111111111078</v>
      </c>
      <c r="K6" s="20">
        <f t="shared" si="7"/>
        <v>0.80491400889999842</v>
      </c>
    </row>
    <row r="7" spans="1:11" x14ac:dyDescent="0.75">
      <c r="A7" s="19">
        <v>5</v>
      </c>
      <c r="B7" s="20">
        <v>4</v>
      </c>
      <c r="C7" s="20">
        <v>40.9</v>
      </c>
      <c r="D7" s="20">
        <f t="shared" si="0"/>
        <v>16</v>
      </c>
      <c r="E7" s="20">
        <f t="shared" si="1"/>
        <v>64</v>
      </c>
      <c r="F7" s="20">
        <f t="shared" si="2"/>
        <v>256</v>
      </c>
      <c r="G7" s="20">
        <f t="shared" si="3"/>
        <v>163.6</v>
      </c>
      <c r="H7" s="20">
        <f t="shared" si="4"/>
        <v>654.4</v>
      </c>
      <c r="I7" s="19">
        <f t="shared" si="5"/>
        <v>41.687089999999998</v>
      </c>
      <c r="J7" s="20">
        <f t="shared" si="6"/>
        <v>239.21777777777771</v>
      </c>
      <c r="K7" s="20">
        <f t="shared" si="7"/>
        <v>0.61951066809999866</v>
      </c>
    </row>
    <row r="8" spans="1:11" x14ac:dyDescent="0.75">
      <c r="A8" s="19">
        <v>6</v>
      </c>
      <c r="B8" s="20">
        <v>5</v>
      </c>
      <c r="C8" s="20">
        <v>61.1</v>
      </c>
      <c r="D8" s="20">
        <f t="shared" si="0"/>
        <v>25</v>
      </c>
      <c r="E8" s="20">
        <f t="shared" si="1"/>
        <v>125</v>
      </c>
      <c r="F8" s="20">
        <f t="shared" si="2"/>
        <v>625</v>
      </c>
      <c r="G8" s="20">
        <f t="shared" si="3"/>
        <v>305.5</v>
      </c>
      <c r="H8" s="20">
        <f t="shared" si="4"/>
        <v>1527.5</v>
      </c>
      <c r="I8" s="19">
        <f t="shared" si="5"/>
        <v>60.792769999999997</v>
      </c>
      <c r="J8" s="20">
        <f t="shared" si="6"/>
        <v>1272.1111111111115</v>
      </c>
      <c r="K8" s="20">
        <f t="shared" si="7"/>
        <v>9.4390272900002528E-2</v>
      </c>
    </row>
    <row r="9" spans="1:11" x14ac:dyDescent="0.75">
      <c r="B9" s="21">
        <f>SUM(B3:B8)</f>
        <v>15</v>
      </c>
      <c r="C9" s="21">
        <f t="shared" ref="C9:H9" si="8">SUM(C3:C8)</f>
        <v>152.6</v>
      </c>
      <c r="D9" s="21">
        <f t="shared" si="8"/>
        <v>55</v>
      </c>
      <c r="E9" s="21">
        <f t="shared" si="8"/>
        <v>225</v>
      </c>
      <c r="F9" s="21">
        <f t="shared" si="8"/>
        <v>979</v>
      </c>
      <c r="G9" s="21">
        <f t="shared" si="8"/>
        <v>585.6</v>
      </c>
      <c r="H9" s="21">
        <f t="shared" si="8"/>
        <v>2488.8000000000002</v>
      </c>
      <c r="J9" s="21">
        <f>SUM(J3:J8)</f>
        <v>2513.3933333333334</v>
      </c>
      <c r="K9" s="21">
        <f>SUM(K3:K8)</f>
        <v>3.7465714398000016</v>
      </c>
    </row>
    <row r="11" spans="1:11" x14ac:dyDescent="0.75">
      <c r="D11" s="23" t="s">
        <v>6</v>
      </c>
      <c r="E11" s="24">
        <v>2.4785699999999999</v>
      </c>
      <c r="G11" s="23" t="s">
        <v>10</v>
      </c>
      <c r="H11" s="24">
        <f>C9/6</f>
        <v>25.433333333333334</v>
      </c>
    </row>
    <row r="12" spans="1:11" x14ac:dyDescent="0.75">
      <c r="D12" s="23" t="s">
        <v>5</v>
      </c>
      <c r="E12" s="24">
        <v>2.3592900000000001</v>
      </c>
      <c r="G12" s="23" t="s">
        <v>13</v>
      </c>
      <c r="H12" s="22">
        <f>J9</f>
        <v>2513.3933333333334</v>
      </c>
    </row>
    <row r="13" spans="1:11" x14ac:dyDescent="0.75">
      <c r="D13" s="23" t="s">
        <v>28</v>
      </c>
      <c r="E13" s="24">
        <v>1.8607100000000001</v>
      </c>
      <c r="G13" s="23" t="s">
        <v>14</v>
      </c>
      <c r="H13" s="22">
        <f>K9</f>
        <v>3.7465714398000016</v>
      </c>
    </row>
    <row r="14" spans="1:11" x14ac:dyDescent="0.75">
      <c r="G14" s="23" t="s">
        <v>15</v>
      </c>
      <c r="H14" s="24">
        <f>(J9-K9)/J9</f>
        <v>0.99850935729393731</v>
      </c>
    </row>
    <row r="15" spans="1:11" x14ac:dyDescent="0.75">
      <c r="G15" s="23" t="s">
        <v>16</v>
      </c>
      <c r="H15" s="24">
        <f>SQRT(H14)</f>
        <v>0.99925440068780147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Exemplo 1 Sala</vt:lpstr>
      <vt:lpstr>Exemplo 1</vt:lpstr>
      <vt:lpstr>Exemplo 2 Sala</vt:lpstr>
      <vt:lpstr>Exemplo 2</vt:lpstr>
      <vt:lpstr>Exemplo 3 Sala</vt:lpstr>
      <vt:lpstr>Exemplo 3</vt:lpstr>
      <vt:lpstr>Exemplo 4 Sala</vt:lpstr>
      <vt:lpstr>Exemplo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dsdominguez</dc:creator>
  <cp:lastModifiedBy>Dany Sanchez Dominguez</cp:lastModifiedBy>
  <dcterms:created xsi:type="dcterms:W3CDTF">2014-05-04T13:47:52Z</dcterms:created>
  <dcterms:modified xsi:type="dcterms:W3CDTF">2024-11-17T23:57:57Z</dcterms:modified>
</cp:coreProperties>
</file>